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IME" sheetId="1" r:id="rId5"/>
    <sheet state="visible" name="Feb Dash" sheetId="2" r:id="rId6"/>
    <sheet state="visible" name="Ben Feb 26" sheetId="3" r:id="rId7"/>
    <sheet state="visible" name="Adrian Feb 26" sheetId="4" r:id="rId8"/>
    <sheet state="visible" name="Jan Dash" sheetId="5" r:id="rId9"/>
    <sheet state="visible" name="Ben Jan 26" sheetId="6" r:id="rId10"/>
    <sheet state="visible" name="Adrian Jan 26" sheetId="7" r:id="rId11"/>
    <sheet state="visible" name="Ben Dec 25" sheetId="8" r:id="rId12"/>
    <sheet state="visible" name="GAW BREAKDOWN" sheetId="9" r:id="rId13"/>
    <sheet state="visible" name="1-14 MC Detail" sheetId="10" r:id="rId14"/>
    <sheet state="visible" name="1-21 MC Detail" sheetId="11" r:id="rId15"/>
  </sheets>
  <definedNames/>
  <calcPr/>
</workbook>
</file>

<file path=xl/sharedStrings.xml><?xml version="1.0" encoding="utf-8"?>
<sst xmlns="http://schemas.openxmlformats.org/spreadsheetml/2006/main" count="612" uniqueCount="385">
  <si>
    <t>All Time Outbound Revenue:</t>
  </si>
  <si>
    <t>Average Revenue per Month:</t>
  </si>
  <si>
    <t>Total Demos Set:</t>
  </si>
  <si>
    <t>Total Demos Shown:</t>
  </si>
  <si>
    <t>Total Outbound Rev:</t>
  </si>
  <si>
    <t>% to Goal:</t>
  </si>
  <si>
    <t>% to EOM:</t>
  </si>
  <si>
    <t>Mel:</t>
  </si>
  <si>
    <t>Kevin (tilegallery)</t>
  </si>
  <si>
    <t>Date:</t>
  </si>
  <si>
    <t>Calls Made:</t>
  </si>
  <si>
    <t>Calls Answered:</t>
  </si>
  <si>
    <t>Demos Booked:</t>
  </si>
  <si>
    <t>Column 1</t>
  </si>
  <si>
    <t>Total Calls Made</t>
  </si>
  <si>
    <t>CALLS SHOWN:</t>
  </si>
  <si>
    <t>Closed?</t>
  </si>
  <si>
    <t>Product</t>
  </si>
  <si>
    <t>Week 1:</t>
  </si>
  <si>
    <t>Total calls answered</t>
  </si>
  <si>
    <t>irasias@gmail.com</t>
  </si>
  <si>
    <t>GAW</t>
  </si>
  <si>
    <t>Total Demos Booked</t>
  </si>
  <si>
    <t>Bryan Thomas</t>
  </si>
  <si>
    <t>Ave calls/day</t>
  </si>
  <si>
    <t>jennifer@stinkbalmodorblocker.com</t>
  </si>
  <si>
    <t>Personal Tickets (Commission)</t>
  </si>
  <si>
    <t>$</t>
  </si>
  <si>
    <t>Demos booked/day</t>
  </si>
  <si>
    <t>sophiabalexander@icloud.com</t>
  </si>
  <si>
    <t>Academy</t>
  </si>
  <si>
    <t>Bryan thomas</t>
  </si>
  <si>
    <t>Total Demos Complete</t>
  </si>
  <si>
    <t>Evan O'reiley</t>
  </si>
  <si>
    <t>Week 2:</t>
  </si>
  <si>
    <t>Show %</t>
  </si>
  <si>
    <t>heidimazanec@gmail.com</t>
  </si>
  <si>
    <t>Close %</t>
  </si>
  <si>
    <t>windowwashingwarriors@gmail.com</t>
  </si>
  <si>
    <t>Boardroom</t>
  </si>
  <si>
    <t>Total Rev Sourced</t>
  </si>
  <si>
    <t>howdy@doubleornothingtwostep.com</t>
  </si>
  <si>
    <t>Personal Rev Collected</t>
  </si>
  <si>
    <t>Commission:</t>
  </si>
  <si>
    <t>meg@traveluxe.com</t>
  </si>
  <si>
    <t>OOO</t>
  </si>
  <si>
    <t>Total Rev:</t>
  </si>
  <si>
    <t>Chris Edwards</t>
  </si>
  <si>
    <t>Andres Moran</t>
  </si>
  <si>
    <t>micahfairchild5@gmail.com</t>
  </si>
  <si>
    <t>% to Goal</t>
  </si>
  <si>
    <t>hopejan12@gmail.com</t>
  </si>
  <si>
    <t>% to EOM</t>
  </si>
  <si>
    <t>jclarken@gmail.com</t>
  </si>
  <si>
    <t>clint4pres@gmail.com</t>
  </si>
  <si>
    <t>A'Lexus French</t>
  </si>
  <si>
    <t>ALL TIME DESK REV</t>
  </si>
  <si>
    <t>drjaylenebair@gmail.com</t>
  </si>
  <si>
    <t>info@advanced247restoration.com</t>
  </si>
  <si>
    <t>Lori Newell</t>
  </si>
  <si>
    <t>Jose Torres</t>
  </si>
  <si>
    <t>ctshc88@gmail.com</t>
  </si>
  <si>
    <t>hunter@theunclegroup.com</t>
  </si>
  <si>
    <t>amandawilson@deerfootlodge.com</t>
  </si>
  <si>
    <t>gary@oraclehomes.com</t>
  </si>
  <si>
    <t>bseims1@gmail.com</t>
  </si>
  <si>
    <t>imran.khawaja@mdtrucare.com</t>
  </si>
  <si>
    <t>Paulinecastro11@gmail.com</t>
  </si>
  <si>
    <t>Prev Month</t>
  </si>
  <si>
    <t>Column 2</t>
  </si>
  <si>
    <t>Answer %</t>
  </si>
  <si>
    <t>r.preis@airstreaminc.ca</t>
  </si>
  <si>
    <t>Kobus Le Roux</t>
  </si>
  <si>
    <t>First call in Jan/ close in Feb</t>
  </si>
  <si>
    <t>eliza@oatmama.com</t>
  </si>
  <si>
    <t>commision</t>
  </si>
  <si>
    <t>Set %</t>
  </si>
  <si>
    <t>miranda@3chousenv.com</t>
  </si>
  <si>
    <t>berel@maplestmanagement.com</t>
  </si>
  <si>
    <t>neltao@gmail.com</t>
  </si>
  <si>
    <t>rachael@readonroads.com</t>
  </si>
  <si>
    <t>Kobus (partner)</t>
  </si>
  <si>
    <r>
      <rPr>
        <color rgb="FF1155CC"/>
        <u/>
      </rPr>
      <t>adam@macont.com</t>
    </r>
    <r>
      <rPr/>
      <t>)</t>
    </r>
  </si>
  <si>
    <t>2 tickets</t>
  </si>
  <si>
    <t>kashudd@yahoo.com</t>
  </si>
  <si>
    <t>craig@readonroads.com</t>
  </si>
  <si>
    <r>
      <rPr>
        <color rgb="FF1155CC"/>
        <u/>
      </rPr>
      <t>adam@macont.com</t>
    </r>
    <r>
      <rPr/>
      <t>)</t>
    </r>
  </si>
  <si>
    <t>brother</t>
  </si>
  <si>
    <t>tim@matthewsgrowthpartners.com</t>
  </si>
  <si>
    <t>Anastasia Evstarti</t>
  </si>
  <si>
    <t>1 ticket</t>
  </si>
  <si>
    <t>bennett8205@yahoo.com</t>
  </si>
  <si>
    <t>Total Personal Rev</t>
  </si>
  <si>
    <t xml:space="preserve">
kelliraerowan@gmail.com</t>
  </si>
  <si>
    <t>Total Outbound Rev</t>
  </si>
  <si>
    <t>craigselvitella@yahoo.com</t>
  </si>
  <si>
    <t>basu.debdeep@gmail.com</t>
  </si>
  <si>
    <t>info@dynamicincorporated.com</t>
  </si>
  <si>
    <t>joe@bachmeierpm.com</t>
  </si>
  <si>
    <t>ean.lowell@gmail.com</t>
  </si>
  <si>
    <t>BR --&gt; GAW</t>
  </si>
  <si>
    <t>abeer.nagi@gmail.com</t>
  </si>
  <si>
    <t>erin@efdesigns.co</t>
  </si>
  <si>
    <t>claudia.alamo1723@gmail.com</t>
  </si>
  <si>
    <t>britojosa@yahoo.com</t>
  </si>
  <si>
    <t>Future booked:</t>
  </si>
  <si>
    <t>dynamic.lv.bookkeeping@gmail.com</t>
  </si>
  <si>
    <t>priscillabaier@icloud.com</t>
  </si>
  <si>
    <t xml:space="preserve">
eric@natayconstruction.com</t>
  </si>
  <si>
    <t>BR--&gt; GAW</t>
  </si>
  <si>
    <t>admin@thinkoutsidethestocks.com | peyooshmadhavi@gmail.com</t>
  </si>
  <si>
    <t>No shows:</t>
  </si>
  <si>
    <t>Adrian No Shows</t>
  </si>
  <si>
    <t>herrerke09@gmail.com</t>
  </si>
  <si>
    <t>office@solutionpeptides.net</t>
  </si>
  <si>
    <t>june061514@gmail.com</t>
  </si>
  <si>
    <t>info@northstarhalibut.com</t>
  </si>
  <si>
    <t>NO SHOW:</t>
  </si>
  <si>
    <t>jeff.holmes@hey.com</t>
  </si>
  <si>
    <t>susan@guidepostpediatrics.com</t>
  </si>
  <si>
    <t>ozzyisabu@gmail.com</t>
  </si>
  <si>
    <t>yumei chen</t>
  </si>
  <si>
    <t>kl@thesalarybump.com</t>
  </si>
  <si>
    <t>Clara della tonga</t>
  </si>
  <si>
    <t>suzieaustin@kw.com</t>
  </si>
  <si>
    <t>Dials/Demo</t>
  </si>
  <si>
    <t>Venkatesh Maran</t>
  </si>
  <si>
    <t>patrick@complete-electric.net</t>
  </si>
  <si>
    <t>mario@ppgsecurity.com</t>
  </si>
  <si>
    <t>jack.barnett.92@gmail.com</t>
  </si>
  <si>
    <t>gopalpagarani@hotmail.com</t>
  </si>
  <si>
    <t>Close?</t>
  </si>
  <si>
    <t>Week 3:</t>
  </si>
  <si>
    <t>Lynn Williams</t>
  </si>
  <si>
    <t>AF</t>
  </si>
  <si>
    <t>tom chandler</t>
  </si>
  <si>
    <t>Isaac Garcia</t>
  </si>
  <si>
    <t>Thenamudhan K</t>
  </si>
  <si>
    <t>todd@hilltreekeepers.com</t>
  </si>
  <si>
    <t>msayibucpa20@gmail.com</t>
  </si>
  <si>
    <t>Week 4: (GAW Outbound focused)</t>
  </si>
  <si>
    <t>Brian Anderson</t>
  </si>
  <si>
    <t>Past Months:</t>
  </si>
  <si>
    <t>liz.michelle@hotmail.com</t>
  </si>
  <si>
    <t>Freddy Rojas</t>
  </si>
  <si>
    <t>vanessasimkins@yahoo.com</t>
  </si>
  <si>
    <t>ravitzmarianna@gmail.com</t>
  </si>
  <si>
    <t>tiffany@thefarmerandchef.com</t>
  </si>
  <si>
    <t>Rachel Cardoso</t>
  </si>
  <si>
    <t>chericgsflooring@gmail.com</t>
  </si>
  <si>
    <t>Ray Pena</t>
  </si>
  <si>
    <t>Scott Oldner</t>
  </si>
  <si>
    <t>Personal Close:</t>
  </si>
  <si>
    <t>nathan.leishman.15@gmail.com</t>
  </si>
  <si>
    <t>linda steen (renewal)</t>
  </si>
  <si>
    <t>michaelmmehta@gmail.com</t>
  </si>
  <si>
    <t>Lynn Williams (MSML)</t>
  </si>
  <si>
    <t>justin@fourpillarcapital.com</t>
  </si>
  <si>
    <t>dwilczynski@live.com</t>
  </si>
  <si>
    <t>adnanchowdhury604@gmail.com</t>
  </si>
  <si>
    <t>ALL TIME REV</t>
  </si>
  <si>
    <t>prital@psarchdesign.com</t>
  </si>
  <si>
    <t>ilosey60@gmail.com</t>
  </si>
  <si>
    <t>Bobby Hall</t>
  </si>
  <si>
    <t>Sandra Morales</t>
  </si>
  <si>
    <t>wutichai@hotmail.com</t>
  </si>
  <si>
    <t>mark@deerfieldbuilders.com</t>
  </si>
  <si>
    <t>hamish.patterson@kormax.com</t>
  </si>
  <si>
    <t>antonio@adventuresgroup.us</t>
  </si>
  <si>
    <t>Aamer Rehman</t>
  </si>
  <si>
    <t>Kari Kinsey</t>
  </si>
  <si>
    <t>2 GAW</t>
  </si>
  <si>
    <t>djstirfry@rocket-entertainment.com</t>
  </si>
  <si>
    <t>Rick Joplin</t>
  </si>
  <si>
    <t>jacquelinegvwilliams@gmail.com</t>
  </si>
  <si>
    <t>jim@focusinsite.com</t>
  </si>
  <si>
    <t>Other Outbound:</t>
  </si>
  <si>
    <t>Close $</t>
  </si>
  <si>
    <t>hakon@lyfjaver.is</t>
  </si>
  <si>
    <t xml:space="preserve">I'm pretty confident about the numbers we have, so I think for Ben it's pretty clear. Total refs sourced is 84650 and </t>
  </si>
  <si>
    <t>Total calls made</t>
  </si>
  <si>
    <t>CALLS SHOWN:0</t>
  </si>
  <si>
    <t>kgjessop1@hotmail.com</t>
  </si>
  <si>
    <t xml:space="preserve">
lori@lori-mcintosh.com</t>
  </si>
  <si>
    <t>michellehe@gmail.com</t>
  </si>
  <si>
    <t>Answered calls/demo booked</t>
  </si>
  <si>
    <t>jeremy.rcmllc@gmail.com</t>
  </si>
  <si>
    <t>rachel@idahoelitek9.com</t>
  </si>
  <si>
    <t>KATIE DRISCOLL consolejesus@icloud.com</t>
  </si>
  <si>
    <t>mc</t>
  </si>
  <si>
    <t>Total Rev</t>
  </si>
  <si>
    <t>mlbrooks_88@hotmail.com</t>
  </si>
  <si>
    <t>not mc</t>
  </si>
  <si>
    <t>saltabuena@hotmail.com</t>
  </si>
  <si>
    <t>shawn.joseph.mcintosh@gmail.com</t>
  </si>
  <si>
    <t>jenniferdwatts@gmail.com</t>
  </si>
  <si>
    <t>academy</t>
  </si>
  <si>
    <t>xenabonet@gmail.com</t>
  </si>
  <si>
    <t>bridgetdennin@gmail.com</t>
  </si>
  <si>
    <t>michaelvincent.inc@gmail.com</t>
  </si>
  <si>
    <t>kobus@readonroads.com</t>
  </si>
  <si>
    <t>FEB CLOSE</t>
  </si>
  <si>
    <t>joan.cassidy@squeezemassage.com</t>
  </si>
  <si>
    <t>perfectpourdano@gmail.com</t>
  </si>
  <si>
    <t>turned into GAW</t>
  </si>
  <si>
    <t>chrisd159753@gmail.com</t>
  </si>
  <si>
    <t>ozzieinvest@gmail.com</t>
  </si>
  <si>
    <t>ciigconsulting@outlook.com</t>
  </si>
  <si>
    <t>moeedahmed1@gmail.com</t>
  </si>
  <si>
    <t>No Shows Adrian Inbound:</t>
  </si>
  <si>
    <t>No Shows for AE's Jan:</t>
  </si>
  <si>
    <t>kortinc@yahoo.com</t>
  </si>
  <si>
    <t>davila24@icloud.com</t>
  </si>
  <si>
    <t>maya@cforceglobal.com</t>
  </si>
  <si>
    <t>cody@bdforensics.com</t>
  </si>
  <si>
    <t>build</t>
  </si>
  <si>
    <t>joao.carrilho@jlcenergy.pt</t>
  </si>
  <si>
    <t>portugal</t>
  </si>
  <si>
    <t>david@woodlanderworkshop.com</t>
  </si>
  <si>
    <t>thecleanmachine25@gmail.com</t>
  </si>
  <si>
    <t>saycapitalholdings@gmail.com</t>
  </si>
  <si>
    <t>Telesforo Uribe</t>
  </si>
  <si>
    <t>vbrown@birminghambusinessalliance.com</t>
  </si>
  <si>
    <t>sandra.jitianu@ideograf.ro</t>
  </si>
  <si>
    <t>limitlessamx@gmail.com</t>
  </si>
  <si>
    <t>ar2romc88@gmail.com</t>
  </si>
  <si>
    <r>
      <rPr>
        <color rgb="FF1155CC"/>
        <u/>
      </rPr>
      <t>cretu.artur@gmail.com</t>
    </r>
  </si>
  <si>
    <t>arswengel@gmail.com (follow up Tues)</t>
  </si>
  <si>
    <t>jamesr@zeonsignsnm.com</t>
  </si>
  <si>
    <t>kevin.coffman7@gmail.com</t>
  </si>
  <si>
    <t>lusiaespinoza@yahoo.com</t>
  </si>
  <si>
    <t>tantalus@gmail.com</t>
  </si>
  <si>
    <t>jorge@topchoicetransport.net</t>
  </si>
  <si>
    <t>Adrian Future Oppertunity:</t>
  </si>
  <si>
    <t>michaelchao@gmail.com</t>
  </si>
  <si>
    <t>khanaak@gmail.com</t>
  </si>
  <si>
    <t>(low intent)</t>
  </si>
  <si>
    <t>nazano@yahoo.com</t>
  </si>
  <si>
    <t>leahlaxlax@gmail.com</t>
  </si>
  <si>
    <t>(needs more info)</t>
  </si>
  <si>
    <t>holyfireic@gmail.com</t>
  </si>
  <si>
    <t>g18trucking@gmail.com</t>
  </si>
  <si>
    <t>(financial DQ*)</t>
  </si>
  <si>
    <t xml:space="preserve">Booked Future: </t>
  </si>
  <si>
    <t>jamienpeta@gmail.com</t>
  </si>
  <si>
    <t>carlrubidge@yahoo.com</t>
  </si>
  <si>
    <t>akeakeautodetailing@gmail.com</t>
  </si>
  <si>
    <t>lifetimelegacyholdings@gmail.com</t>
  </si>
  <si>
    <t>chawalwala@hotmail.com</t>
  </si>
  <si>
    <t>laurennagler@gmail.com</t>
  </si>
  <si>
    <t xml:space="preserve">Total Booked </t>
  </si>
  <si>
    <t>Total Shown</t>
  </si>
  <si>
    <t>Still on Calendar</t>
  </si>
  <si>
    <t>1/14 MC Booked</t>
  </si>
  <si>
    <t>Unqualified:</t>
  </si>
  <si>
    <t>Future opportunity:</t>
  </si>
  <si>
    <t>tom@sasquatch.aero</t>
  </si>
  <si>
    <t>Date</t>
  </si>
  <si>
    <t>Calls Made</t>
  </si>
  <si>
    <t>Calls Answered</t>
  </si>
  <si>
    <t>Demos Booked</t>
  </si>
  <si>
    <t>CALLS SHOWN Dec: 45</t>
  </si>
  <si>
    <t>TOTAL REV:</t>
  </si>
  <si>
    <t>nickrileydriftwood@gmail.com</t>
  </si>
  <si>
    <t>a.romero0024@gmail.com</t>
  </si>
  <si>
    <t>Wick Vipond</t>
  </si>
  <si>
    <t>Closed</t>
  </si>
  <si>
    <t>limon.thomas@icloud.com</t>
  </si>
  <si>
    <t>WFS</t>
  </si>
  <si>
    <t>Doeothy Kawula</t>
  </si>
  <si>
    <t>jill@ryanhousecandles.com</t>
  </si>
  <si>
    <t>Training</t>
  </si>
  <si>
    <t>Tom Chandler</t>
  </si>
  <si>
    <t>Madison Hecker</t>
  </si>
  <si>
    <t>Sick</t>
  </si>
  <si>
    <t>Rod Rose</t>
  </si>
  <si>
    <t>Ming Fang</t>
  </si>
  <si>
    <t>mhorowitz227@outlook.com</t>
  </si>
  <si>
    <t>Magda</t>
  </si>
  <si>
    <t>jacksondcooper@gmail.com</t>
  </si>
  <si>
    <t>ed.kidney@gmail.com</t>
  </si>
  <si>
    <t>Anthony T Fischetti</t>
  </si>
  <si>
    <t>scott.goodman@rocketmail.com</t>
  </si>
  <si>
    <t>Raymond Brunner</t>
  </si>
  <si>
    <t>Douglas MacIver</t>
  </si>
  <si>
    <t>Calls/Day</t>
  </si>
  <si>
    <t>David - Thai Topaz</t>
  </si>
  <si>
    <t>Fady Saad</t>
  </si>
  <si>
    <t>Noel Swinburne</t>
  </si>
  <si>
    <t>Answered call/booked</t>
  </si>
  <si>
    <t>Rodrigo Sartori</t>
  </si>
  <si>
    <t>Justin Van Hill</t>
  </si>
  <si>
    <t>Cole Watson</t>
  </si>
  <si>
    <t>anthony_dat@hotmail.com</t>
  </si>
  <si>
    <t>hasnain hani</t>
  </si>
  <si>
    <t>Total Pipeline</t>
  </si>
  <si>
    <t>Victor Obiri</t>
  </si>
  <si>
    <t>Total Rev Collected</t>
  </si>
  <si>
    <t>Vincent Fallourd</t>
  </si>
  <si>
    <t>Call Show %</t>
  </si>
  <si>
    <t>Sean Aaron</t>
  </si>
  <si>
    <t>Call Close %</t>
  </si>
  <si>
    <t>Anatoli Lukkarinen</t>
  </si>
  <si>
    <t>Robert Belcher</t>
  </si>
  <si>
    <t>Christopher Ball</t>
  </si>
  <si>
    <t>Mary Soldano</t>
  </si>
  <si>
    <t>Baltazar Pena</t>
  </si>
  <si>
    <t>Bayard Hogans</t>
  </si>
  <si>
    <t>Mayo DeLeon</t>
  </si>
  <si>
    <t>Robert Amajoyi</t>
  </si>
  <si>
    <t>Brian Pitts</t>
  </si>
  <si>
    <t>mohamed23456@gmail.com</t>
  </si>
  <si>
    <t>sean@teamphun.com</t>
  </si>
  <si>
    <t>Bryan Port</t>
  </si>
  <si>
    <t>borjab777@gmail.com</t>
  </si>
  <si>
    <t>petermarzo1@gmail.com</t>
  </si>
  <si>
    <t>TICKETS CLOSED BY REP</t>
  </si>
  <si>
    <t>Rep</t>
  </si>
  <si>
    <t>Deals Closed</t>
  </si>
  <si>
    <t>Tickets Closed</t>
  </si>
  <si>
    <t>Revenue</t>
  </si>
  <si>
    <t>Outbound Tickets</t>
  </si>
  <si>
    <t>Inbound Tickets</t>
  </si>
  <si>
    <t>Mel Fox</t>
  </si>
  <si>
    <t>Alex Chavez</t>
  </si>
  <si>
    <t>Adrian Delaney</t>
  </si>
  <si>
    <t>Dani Ruadez</t>
  </si>
  <si>
    <t>Ben Averbook</t>
  </si>
  <si>
    <t>Preston Palmer</t>
  </si>
  <si>
    <t>TOTAL</t>
  </si>
  <si>
    <t>TICKETS SOURCED BY BDR (OUTBOUND)</t>
  </si>
  <si>
    <t>BDR</t>
  </si>
  <si>
    <t>Deals Sourced</t>
  </si>
  <si>
    <t>Tickets Sourced</t>
  </si>
  <si>
    <t>Also Closed (Self)</t>
  </si>
  <si>
    <t>Self-Close Tickets</t>
  </si>
  <si>
    <t>Handed Off Tickets</t>
  </si>
  <si>
    <t>TOTAL OUTBOUND</t>
  </si>
  <si>
    <t>INBOUND TICKETS (NO BDR TAG)</t>
  </si>
  <si>
    <t>Closer</t>
  </si>
  <si>
    <t>Inbound Deals</t>
  </si>
  <si>
    <t>1/14 MASTERCLASS: OUTBOUND vs INBOUND BY AE</t>
  </si>
  <si>
    <t>AE</t>
  </si>
  <si>
    <t>Source</t>
  </si>
  <si>
    <t>Total</t>
  </si>
  <si>
    <t>No Shows</t>
  </si>
  <si>
    <t>Shows</t>
  </si>
  <si>
    <t>Won</t>
  </si>
  <si>
    <t>Lost</t>
  </si>
  <si>
    <t>Outbound</t>
  </si>
  <si>
    <t>50%</t>
  </si>
  <si>
    <t>100.0%</t>
  </si>
  <si>
    <t>Inbound</t>
  </si>
  <si>
    <t>60%</t>
  </si>
  <si>
    <t>0.0%</t>
  </si>
  <si>
    <t>82%</t>
  </si>
  <si>
    <t>22.2%</t>
  </si>
  <si>
    <t>100%</t>
  </si>
  <si>
    <t>80%</t>
  </si>
  <si>
    <t>50.0%</t>
  </si>
  <si>
    <t>75%</t>
  </si>
  <si>
    <t>33.3%</t>
  </si>
  <si>
    <t>25.0%</t>
  </si>
  <si>
    <t>67%</t>
  </si>
  <si>
    <t>TOTALS</t>
  </si>
  <si>
    <t>ALL</t>
  </si>
  <si>
    <t>79%</t>
  </si>
  <si>
    <t>30.4%</t>
  </si>
  <si>
    <t>70%</t>
  </si>
  <si>
    <t>11.5%</t>
  </si>
  <si>
    <t>1/21 MASTERCLASS: OUTBOUND vs INBOUND BY AE</t>
  </si>
  <si>
    <t>27.3%</t>
  </si>
  <si>
    <t>81%</t>
  </si>
  <si>
    <t>17.6%</t>
  </si>
  <si>
    <t>12.5%</t>
  </si>
  <si>
    <t>86%</t>
  </si>
  <si>
    <t>16.7%</t>
  </si>
  <si>
    <t>91%</t>
  </si>
  <si>
    <t>30.0%</t>
  </si>
  <si>
    <t>92%</t>
  </si>
  <si>
    <t>8.3%</t>
  </si>
  <si>
    <t>83%</t>
  </si>
  <si>
    <t>29.2%</t>
  </si>
  <si>
    <t>85%</t>
  </si>
  <si>
    <t>16.4%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</si>
</sst>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/d/yyyy"/>
    <numFmt numFmtId="166" formatCode="m/d/yy"/>
    <numFmt numFmtId="167" formatCode="M/d/yyyy"/>
    <numFmt numFmtId="168" formatCode="&quot;$&quot;#,##0"/>
    <numFmt numFmtId="169" formatCode="mmm d"/>
    <numFmt numFmtId="170" formatCode="$#,##0"/>
  </numFmts>
  <fonts count="2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3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b/>
      <color theme="1"/>
      <name val="Arial"/>
    </font>
    <font>
      <u/>
      <color rgb="FF0000FF"/>
    </font>
    <font>
      <sz val="11.0"/>
      <color rgb="FFE3E3E3"/>
      <name val="&quot;Google Sans&quot;"/>
    </font>
    <font>
      <sz val="11.0"/>
      <color rgb="FF101828"/>
      <name val="Inter"/>
    </font>
    <font>
      <sz val="10.0"/>
      <color rgb="FF303030"/>
      <name val="Inter"/>
    </font>
    <font>
      <sz val="18.0"/>
      <color rgb="FF303030"/>
      <name val="Inter"/>
    </font>
    <font>
      <b/>
      <sz val="14.0"/>
      <color rgb="FFFFFFFF"/>
      <name val="Arial"/>
    </font>
    <font/>
    <font>
      <sz val="11.0"/>
      <color theme="1"/>
      <name val="Calibri"/>
    </font>
    <font>
      <b/>
      <color rgb="FFFFFFFF"/>
      <name val="Arial"/>
    </font>
    <font>
      <b/>
      <sz val="11.0"/>
      <color rgb="FFFFFFFF"/>
      <name val="Arial"/>
    </font>
    <font>
      <b/>
      <sz val="11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  <fill>
      <patternFill patternType="solid">
        <fgColor rgb="FFF2F4F7"/>
        <bgColor rgb="FFF2F4F7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1B2A4A"/>
        <bgColor rgb="FF1B2A4A"/>
      </patternFill>
    </fill>
    <fill>
      <patternFill patternType="solid">
        <fgColor rgb="FF2C3E6B"/>
        <bgColor rgb="FF2C3E6B"/>
      </patternFill>
    </fill>
    <fill>
      <patternFill patternType="solid">
        <fgColor rgb="FFE8EDF5"/>
        <bgColor rgb="FFE8EDF5"/>
      </patternFill>
    </fill>
    <fill>
      <patternFill patternType="solid">
        <fgColor rgb="FF2980B9"/>
        <bgColor rgb="FF2980B9"/>
      </patternFill>
    </fill>
    <fill>
      <patternFill patternType="solid">
        <fgColor rgb="FF1E3A5F"/>
        <bgColor rgb="FF1E3A5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2E8F0"/>
        <bgColor rgb="FFE2E8F0"/>
      </patternFill>
    </fill>
  </fills>
  <borders count="2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164" xfId="0" applyFont="1" applyNumberFormat="1"/>
    <xf borderId="0" fillId="0" fontId="3" numFmtId="2" xfId="0" applyFont="1" applyNumberFormat="1"/>
    <xf borderId="0" fillId="2" fontId="4" numFmtId="0" xfId="0" applyAlignment="1" applyFill="1" applyFont="1">
      <alignment readingOrder="0"/>
    </xf>
    <xf borderId="0" fillId="2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3" numFmtId="0" xfId="0" applyFont="1"/>
    <xf borderId="0" fillId="3" fontId="7" numFmtId="0" xfId="0" applyAlignment="1" applyFill="1" applyFont="1">
      <alignment readingOrder="0" shrinkToFit="0" vertical="center" wrapText="0"/>
    </xf>
    <xf borderId="0" fillId="3" fontId="3" numFmtId="166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Font="1"/>
    <xf borderId="0" fillId="4" fontId="3" numFmtId="165" xfId="0" applyAlignment="1" applyFill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Font="1"/>
    <xf borderId="0" fillId="0" fontId="4" numFmtId="0" xfId="0" applyFont="1"/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167" xfId="0" applyAlignment="1" applyFont="1" applyNumberFormat="1">
      <alignment readingOrder="0"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3" fontId="3" numFmtId="164" xfId="0" applyFont="1" applyNumberFormat="1"/>
    <xf borderId="0" fillId="0" fontId="4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0"/>
    </xf>
    <xf borderId="0" fillId="3" fontId="4" numFmtId="2" xfId="0" applyFont="1" applyNumberFormat="1"/>
    <xf borderId="0" fillId="3" fontId="3" numFmtId="168" xfId="0" applyAlignment="1" applyFont="1" applyNumberFormat="1">
      <alignment readingOrder="0" shrinkToFit="0" vertical="center" wrapText="0"/>
    </xf>
    <xf borderId="0" fillId="3" fontId="3" numFmtId="168" xfId="0" applyAlignment="1" applyFont="1" applyNumberFormat="1">
      <alignment readingOrder="0" shrinkToFit="0" vertical="center" wrapText="0"/>
    </xf>
    <xf borderId="0" fillId="3" fontId="3" numFmtId="166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vertical="bottom"/>
    </xf>
    <xf borderId="1" fillId="5" fontId="14" numFmtId="165" xfId="0" applyAlignment="1" applyBorder="1" applyFill="1" applyFont="1" applyNumberFormat="1">
      <alignment horizontal="right" shrinkToFit="0" vertical="center" wrapText="0"/>
    </xf>
    <xf borderId="2" fillId="5" fontId="14" numFmtId="0" xfId="0" applyAlignment="1" applyBorder="1" applyFont="1">
      <alignment horizontal="right" shrinkToFit="0" vertical="center" wrapText="0"/>
    </xf>
    <xf borderId="2" fillId="5" fontId="13" numFmtId="0" xfId="0" applyAlignment="1" applyBorder="1" applyFont="1">
      <alignment shrinkToFit="0" vertical="center" wrapText="0"/>
    </xf>
    <xf borderId="3" fillId="5" fontId="13" numFmtId="0" xfId="0" applyAlignment="1" applyBorder="1" applyFont="1">
      <alignment readingOrder="0"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0" fontId="15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4" fillId="6" fontId="14" numFmtId="165" xfId="0" applyAlignment="1" applyBorder="1" applyFill="1" applyFont="1" applyNumberFormat="1">
      <alignment horizontal="right" shrinkToFit="0" vertical="center" wrapText="0"/>
    </xf>
    <xf borderId="5" fillId="6" fontId="14" numFmtId="0" xfId="0" applyAlignment="1" applyBorder="1" applyFont="1">
      <alignment horizontal="right" shrinkToFit="0" vertical="center" wrapText="0"/>
    </xf>
    <xf borderId="5" fillId="6" fontId="13" numFmtId="0" xfId="0" applyAlignment="1" applyBorder="1" applyFont="1">
      <alignment shrinkToFit="0" vertical="center" wrapText="0"/>
    </xf>
    <xf borderId="6" fillId="6" fontId="14" numFmtId="0" xfId="0" applyAlignment="1" applyBorder="1" applyFont="1">
      <alignment horizontal="right" shrinkToFit="0" vertical="center" wrapText="0"/>
    </xf>
    <xf borderId="0" fillId="6" fontId="14" numFmtId="0" xfId="0" applyAlignment="1" applyFont="1">
      <alignment horizontal="right" shrinkToFit="0" vertical="center" wrapText="0"/>
    </xf>
    <xf borderId="3" fillId="5" fontId="14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right" shrinkToFit="0" vertical="center" wrapText="0"/>
    </xf>
    <xf borderId="1" fillId="5" fontId="14" numFmtId="0" xfId="0" applyAlignment="1" applyBorder="1" applyFont="1">
      <alignment shrinkToFit="0" vertical="center" wrapText="0"/>
    </xf>
    <xf borderId="2" fillId="5" fontId="14" numFmtId="166" xfId="0" applyAlignment="1" applyBorder="1" applyFont="1" applyNumberFormat="1">
      <alignment horizontal="right" shrinkToFit="0" vertical="center" wrapText="0"/>
    </xf>
    <xf borderId="3" fillId="5" fontId="13" numFmtId="0" xfId="0" applyAlignment="1" applyBorder="1" applyFont="1">
      <alignment shrinkToFit="0" vertical="center" wrapText="0"/>
    </xf>
    <xf borderId="0" fillId="5" fontId="13" numFmtId="0" xfId="0" applyAlignment="1" applyFont="1">
      <alignment shrinkToFit="0" vertical="center" wrapText="0"/>
    </xf>
    <xf borderId="4" fillId="6" fontId="13" numFmtId="0" xfId="0" applyAlignment="1" applyBorder="1" applyFont="1">
      <alignment readingOrder="0" shrinkToFit="0" vertical="center" wrapText="0"/>
    </xf>
    <xf borderId="5" fillId="6" fontId="13" numFmtId="166" xfId="0" applyAlignment="1" applyBorder="1" applyFont="1" applyNumberFormat="1">
      <alignment readingOrder="0" shrinkToFit="0" vertical="center" wrapText="0"/>
    </xf>
    <xf borderId="6" fillId="6" fontId="13" numFmtId="0" xfId="0" applyAlignment="1" applyBorder="1" applyFont="1">
      <alignment shrinkToFit="0" vertical="center" wrapText="0"/>
    </xf>
    <xf borderId="0" fillId="6" fontId="13" numFmtId="0" xfId="0" applyAlignment="1" applyFont="1">
      <alignment shrinkToFit="0" vertical="center" wrapText="0"/>
    </xf>
    <xf borderId="7" fillId="6" fontId="14" numFmtId="0" xfId="0" applyAlignment="1" applyBorder="1" applyFont="1">
      <alignment shrinkToFit="0" vertical="center" wrapText="0"/>
    </xf>
    <xf borderId="8" fillId="6" fontId="14" numFmtId="166" xfId="0" applyAlignment="1" applyBorder="1" applyFont="1" applyNumberFormat="1">
      <alignment horizontal="right" shrinkToFit="0" vertical="center" wrapText="0"/>
    </xf>
    <xf borderId="9" fillId="6" fontId="13" numFmtId="0" xfId="0" applyAlignment="1" applyBorder="1" applyFont="1">
      <alignment shrinkToFit="0" vertical="center" wrapText="0"/>
    </xf>
    <xf borderId="5" fillId="6" fontId="13" numFmtId="0" xfId="0" applyAlignment="1" applyBorder="1" applyFont="1">
      <alignment readingOrder="0" shrinkToFit="0" vertical="center" wrapText="0"/>
    </xf>
    <xf borderId="6" fillId="6" fontId="13" numFmtId="0" xfId="0" applyAlignment="1" applyBorder="1" applyFont="1">
      <alignment readingOrder="0" shrinkToFit="0" vertical="center" wrapText="0"/>
    </xf>
    <xf borderId="0" fillId="6" fontId="13" numFmtId="0" xfId="0" applyAlignment="1" applyFont="1">
      <alignment readingOrder="0" shrinkToFit="0" vertical="center" wrapText="0"/>
    </xf>
    <xf borderId="4" fillId="3" fontId="14" numFmtId="0" xfId="0" applyAlignment="1" applyBorder="1" applyFont="1">
      <alignment shrinkToFit="0" vertical="center" wrapText="0"/>
    </xf>
    <xf borderId="5" fillId="3" fontId="14" numFmtId="166" xfId="0" applyAlignment="1" applyBorder="1" applyFont="1" applyNumberFormat="1">
      <alignment horizontal="right" shrinkToFit="0" vertical="center" wrapText="0"/>
    </xf>
    <xf borderId="6" fillId="3" fontId="14" numFmtId="0" xfId="0" applyAlignment="1" applyBorder="1" applyFont="1">
      <alignment horizontal="right" shrinkToFit="0" vertical="center" wrapText="0"/>
    </xf>
    <xf borderId="0" fillId="3" fontId="14" numFmtId="0" xfId="0" applyAlignment="1" applyFont="1">
      <alignment horizontal="right" shrinkToFit="0" vertical="center" wrapText="0"/>
    </xf>
    <xf borderId="2" fillId="5" fontId="13" numFmtId="0" xfId="0" applyAlignment="1" applyBorder="1" applyFont="1">
      <alignment readingOrder="0" shrinkToFit="0" vertical="center" wrapText="0"/>
    </xf>
    <xf borderId="1" fillId="6" fontId="14" numFmtId="0" xfId="0" applyAlignment="1" applyBorder="1" applyFont="1">
      <alignment shrinkToFit="0" vertical="center" wrapText="0"/>
    </xf>
    <xf borderId="2" fillId="6" fontId="14" numFmtId="166" xfId="0" applyAlignment="1" applyBorder="1" applyFont="1" applyNumberFormat="1">
      <alignment horizontal="right" shrinkToFit="0" vertical="center" wrapText="0"/>
    </xf>
    <xf borderId="3" fillId="6" fontId="13" numFmtId="0" xfId="0" applyAlignment="1" applyBorder="1" applyFont="1">
      <alignment shrinkToFit="0" vertical="center" wrapText="0"/>
    </xf>
    <xf borderId="4" fillId="5" fontId="14" numFmtId="0" xfId="0" applyAlignment="1" applyBorder="1" applyFont="1">
      <alignment shrinkToFit="0" vertical="center" wrapText="0"/>
    </xf>
    <xf borderId="5" fillId="5" fontId="14" numFmtId="166" xfId="0" applyAlignment="1" applyBorder="1" applyFont="1" applyNumberFormat="1">
      <alignment horizontal="right" shrinkToFit="0" vertical="center" wrapText="0"/>
    </xf>
    <xf borderId="6" fillId="5" fontId="13" numFmtId="0" xfId="0" applyAlignment="1" applyBorder="1" applyFont="1">
      <alignment shrinkToFit="0" vertical="center" wrapText="0"/>
    </xf>
    <xf borderId="1" fillId="5" fontId="13" numFmtId="0" xfId="0" applyAlignment="1" applyBorder="1" applyFont="1">
      <alignment readingOrder="0" shrinkToFit="0" vertical="center" wrapText="0"/>
    </xf>
    <xf borderId="2" fillId="5" fontId="13" numFmtId="166" xfId="0" applyAlignment="1" applyBorder="1" applyFont="1" applyNumberFormat="1">
      <alignment readingOrder="0" shrinkToFit="0" vertical="center" wrapText="0"/>
    </xf>
    <xf borderId="4" fillId="3" fontId="13" numFmtId="0" xfId="0" applyAlignment="1" applyBorder="1" applyFont="1">
      <alignment readingOrder="0" shrinkToFit="0" vertical="center" wrapText="0"/>
    </xf>
    <xf borderId="5" fillId="3" fontId="13" numFmtId="166" xfId="0" applyAlignment="1" applyBorder="1" applyFont="1" applyNumberFormat="1">
      <alignment readingOrder="0" shrinkToFit="0" vertical="center" wrapText="0"/>
    </xf>
    <xf borderId="6" fillId="3" fontId="13" numFmtId="0" xfId="0" applyAlignment="1" applyBorder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5" numFmtId="0" xfId="0" applyAlignment="1" applyFont="1">
      <alignment readingOrder="0" vertical="bottom"/>
    </xf>
    <xf borderId="0" fillId="3" fontId="13" numFmtId="0" xfId="0" applyAlignment="1" applyFont="1">
      <alignment horizontal="right" vertical="bottom"/>
    </xf>
    <xf borderId="0" fillId="5" fontId="13" numFmtId="0" xfId="0" applyAlignment="1" applyFont="1">
      <alignment readingOrder="0" shrinkToFit="0" vertical="center" wrapText="0"/>
    </xf>
    <xf borderId="0" fillId="6" fontId="13" numFmtId="0" xfId="0" applyAlignment="1" applyFont="1">
      <alignment readingOrder="0" shrinkToFit="0" vertical="center" wrapText="0"/>
    </xf>
    <xf borderId="10" fillId="3" fontId="13" numFmtId="0" xfId="0" applyAlignment="1" applyBorder="1" applyFont="1">
      <alignment readingOrder="0" shrinkToFit="0" vertical="center" wrapText="0"/>
    </xf>
    <xf borderId="11" fillId="3" fontId="13" numFmtId="166" xfId="0" applyAlignment="1" applyBorder="1" applyFont="1" applyNumberFormat="1">
      <alignment readingOrder="0" shrinkToFit="0" vertical="center" wrapText="0"/>
    </xf>
    <xf borderId="12" fillId="3" fontId="13" numFmtId="0" xfId="0" applyAlignment="1" applyBorder="1" applyFont="1">
      <alignment readingOrder="0" shrinkToFit="0" vertical="center" wrapText="0"/>
    </xf>
    <xf borderId="0" fillId="3" fontId="13" numFmtId="0" xfId="0" applyAlignment="1" applyFont="1">
      <alignment shrinkToFit="0" vertical="center" wrapText="0"/>
    </xf>
    <xf borderId="0" fillId="6" fontId="13" numFmtId="166" xfId="0" applyAlignment="1" applyFont="1" applyNumberFormat="1">
      <alignment readingOrder="0" shrinkToFit="0" vertical="center" wrapText="0"/>
    </xf>
    <xf borderId="12" fillId="6" fontId="13" numFmtId="0" xfId="0" applyAlignment="1" applyBorder="1" applyFont="1">
      <alignment shrinkToFit="0" vertical="center" wrapText="0"/>
    </xf>
    <xf borderId="4" fillId="6" fontId="14" numFmtId="165" xfId="0" applyAlignment="1" applyBorder="1" applyFont="1" applyNumberFormat="1">
      <alignment horizontal="right" readingOrder="0" shrinkToFit="0" vertical="center" wrapText="0"/>
    </xf>
    <xf borderId="3" fillId="5" fontId="13" numFmtId="0" xfId="0" applyAlignment="1" applyBorder="1" applyFont="1">
      <alignment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3" numFmtId="166" xfId="0" applyAlignment="1" applyFont="1" applyNumberFormat="1">
      <alignment readingOrder="0" shrinkToFit="0" vertical="center" wrapText="0"/>
    </xf>
    <xf borderId="6" fillId="6" fontId="13" numFmtId="0" xfId="0" applyAlignment="1" applyBorder="1" applyFont="1">
      <alignment shrinkToFit="0" vertical="center" wrapText="0"/>
    </xf>
    <xf borderId="0" fillId="6" fontId="13" numFmtId="0" xfId="0" applyAlignment="1" applyFont="1">
      <alignment shrinkToFit="0" vertical="center" wrapText="0"/>
    </xf>
    <xf borderId="0" fillId="3" fontId="13" numFmtId="0" xfId="0" applyAlignment="1" applyFont="1">
      <alignment shrinkToFit="0" vertical="center" wrapText="0"/>
    </xf>
    <xf borderId="0" fillId="6" fontId="13" numFmtId="0" xfId="0" applyAlignment="1" applyFont="1">
      <alignment shrinkToFit="0" vertical="center" wrapText="0"/>
    </xf>
    <xf borderId="13" fillId="5" fontId="14" numFmtId="165" xfId="0" applyAlignment="1" applyBorder="1" applyFont="1" applyNumberFormat="1">
      <alignment horizontal="right" shrinkToFit="0" vertical="center" wrapText="0"/>
    </xf>
    <xf borderId="14" fillId="5" fontId="13" numFmtId="0" xfId="0" applyAlignment="1" applyBorder="1" applyFont="1">
      <alignment shrinkToFit="0" vertical="center" wrapText="0"/>
    </xf>
    <xf borderId="15" fillId="5" fontId="13" numFmtId="0" xfId="0" applyAlignment="1" applyBorder="1" applyFont="1">
      <alignment shrinkToFit="0" vertical="center" wrapText="0"/>
    </xf>
    <xf borderId="0" fillId="5" fontId="13" numFmtId="0" xfId="0" applyAlignment="1" applyFont="1">
      <alignment shrinkToFit="0" vertical="center" wrapText="0"/>
    </xf>
    <xf borderId="0" fillId="6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vertical="bottom"/>
    </xf>
    <xf borderId="0" fillId="3" fontId="13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/>
    </xf>
    <xf borderId="1" fillId="5" fontId="13" numFmtId="0" xfId="0" applyAlignment="1" applyBorder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6" fontId="1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wrapText="0"/>
    </xf>
    <xf borderId="0" fillId="5" fontId="18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7" fontId="4" numFmtId="0" xfId="0" applyAlignment="1" applyFill="1" applyFont="1">
      <alignment readingOrder="0"/>
    </xf>
    <xf borderId="0" fillId="4" fontId="3" numFmtId="167" xfId="0" applyAlignment="1" applyFont="1" applyNumberForma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5" fontId="19" numFmtId="0" xfId="0" applyAlignment="1" applyFont="1">
      <alignment readingOrder="0" shrinkToFit="0" vertical="center" wrapText="0"/>
    </xf>
    <xf borderId="0" fillId="8" fontId="18" numFmtId="0" xfId="0" applyAlignment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3" numFmtId="169" xfId="0" applyAlignment="1" applyFont="1" applyNumberFormat="1">
      <alignment readingOrder="0" shrinkToFit="0" vertical="center" wrapText="0"/>
    </xf>
    <xf borderId="0" fillId="9" fontId="3" numFmtId="0" xfId="0" applyAlignment="1" applyFont="1">
      <alignment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169" xfId="0" applyAlignment="1" applyFont="1" applyNumberFormat="1">
      <alignment readingOrder="0" shrinkToFit="0" vertical="center" wrapText="0"/>
    </xf>
    <xf borderId="0" fillId="1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3" fontId="3" numFmtId="169" xfId="0" applyAlignment="1" applyFont="1" applyNumberFormat="1">
      <alignment readingOrder="0" shrinkToFit="0" vertical="center" wrapText="0"/>
    </xf>
    <xf borderId="0" fillId="0" fontId="3" numFmtId="0" xfId="0" applyFont="1"/>
    <xf borderId="0" fillId="0" fontId="3" numFmtId="169" xfId="0" applyAlignment="1" applyFont="1" applyNumberFormat="1">
      <alignment readingOrder="0" shrinkToFit="0" vertical="center" wrapText="0"/>
    </xf>
    <xf borderId="0" fillId="0" fontId="3" numFmtId="168" xfId="0" applyAlignment="1" applyFont="1" applyNumberFormat="1">
      <alignment readingOrder="0"/>
    </xf>
    <xf borderId="16" fillId="11" fontId="21" numFmtId="0" xfId="0" applyBorder="1" applyFill="1" applyFont="1"/>
    <xf borderId="17" fillId="0" fontId="22" numFmtId="0" xfId="0" applyBorder="1" applyFont="1"/>
    <xf borderId="18" fillId="0" fontId="22" numFmtId="0" xfId="0" applyBorder="1" applyFont="1"/>
    <xf borderId="0" fillId="0" fontId="23" numFmtId="0" xfId="0" applyAlignment="1" applyFont="1">
      <alignment vertical="bottom"/>
    </xf>
    <xf borderId="19" fillId="12" fontId="24" numFmtId="0" xfId="0" applyAlignment="1" applyBorder="1" applyFill="1" applyFont="1">
      <alignment horizontal="center"/>
    </xf>
    <xf borderId="19" fillId="13" fontId="15" numFmtId="0" xfId="0" applyBorder="1" applyFill="1" applyFont="1"/>
    <xf borderId="19" fillId="13" fontId="15" numFmtId="0" xfId="0" applyAlignment="1" applyBorder="1" applyFont="1">
      <alignment horizontal="center" readingOrder="0"/>
    </xf>
    <xf borderId="19" fillId="13" fontId="13" numFmtId="170" xfId="0" applyAlignment="1" applyBorder="1" applyFont="1" applyNumberFormat="1">
      <alignment horizontal="right"/>
    </xf>
    <xf borderId="19" fillId="5" fontId="15" numFmtId="0" xfId="0" applyBorder="1" applyFont="1"/>
    <xf borderId="19" fillId="5" fontId="15" numFmtId="0" xfId="0" applyAlignment="1" applyBorder="1" applyFont="1">
      <alignment horizontal="center"/>
    </xf>
    <xf borderId="19" fillId="5" fontId="13" numFmtId="170" xfId="0" applyAlignment="1" applyBorder="1" applyFont="1" applyNumberFormat="1">
      <alignment horizontal="right"/>
    </xf>
    <xf borderId="19" fillId="13" fontId="15" numFmtId="0" xfId="0" applyAlignment="1" applyBorder="1" applyFont="1">
      <alignment horizontal="center"/>
    </xf>
    <xf borderId="19" fillId="13" fontId="13" numFmtId="170" xfId="0" applyAlignment="1" applyBorder="1" applyFont="1" applyNumberFormat="1">
      <alignment horizontal="right" readingOrder="0"/>
    </xf>
    <xf borderId="19" fillId="11" fontId="25" numFmtId="0" xfId="0" applyBorder="1" applyFont="1"/>
    <xf borderId="19" fillId="11" fontId="25" numFmtId="0" xfId="0" applyAlignment="1" applyBorder="1" applyFont="1">
      <alignment horizontal="center"/>
    </xf>
    <xf borderId="19" fillId="11" fontId="25" numFmtId="170" xfId="0" applyAlignment="1" applyBorder="1" applyFont="1" applyNumberFormat="1">
      <alignment horizontal="right"/>
    </xf>
    <xf borderId="19" fillId="5" fontId="15" numFmtId="0" xfId="0" applyAlignment="1" applyBorder="1" applyFont="1">
      <alignment horizontal="center" readingOrder="0"/>
    </xf>
    <xf borderId="19" fillId="11" fontId="25" numFmtId="0" xfId="0" applyAlignment="1" applyBorder="1" applyFont="1">
      <alignment horizontal="center" readingOrder="0"/>
    </xf>
    <xf borderId="16" fillId="14" fontId="21" numFmtId="0" xfId="0" applyBorder="1" applyFill="1" applyFont="1"/>
    <xf borderId="19" fillId="13" fontId="23" numFmtId="170" xfId="0" applyAlignment="1" applyBorder="1" applyFont="1" applyNumberFormat="1">
      <alignment horizontal="right" readingOrder="0"/>
    </xf>
    <xf borderId="19" fillId="5" fontId="23" numFmtId="170" xfId="0" applyAlignment="1" applyBorder="1" applyFont="1" applyNumberFormat="1">
      <alignment horizontal="right"/>
    </xf>
    <xf borderId="19" fillId="13" fontId="23" numFmtId="170" xfId="0" applyAlignment="1" applyBorder="1" applyFont="1" applyNumberFormat="1">
      <alignment horizontal="right"/>
    </xf>
    <xf borderId="0" fillId="0" fontId="1" numFmtId="0" xfId="0" applyAlignment="1" applyFont="1">
      <alignment horizontal="center"/>
    </xf>
    <xf borderId="20" fillId="15" fontId="26" numFmtId="0" xfId="0" applyAlignment="1" applyBorder="1" applyFill="1" applyFont="1">
      <alignment horizontal="center"/>
    </xf>
    <xf borderId="20" fillId="0" fontId="23" numFmtId="0" xfId="0" applyBorder="1" applyFont="1"/>
    <xf borderId="20" fillId="16" fontId="23" numFmtId="0" xfId="0" applyBorder="1" applyFill="1" applyFont="1"/>
    <xf borderId="20" fillId="16" fontId="23" numFmtId="170" xfId="0" applyBorder="1" applyFont="1" applyNumberFormat="1"/>
    <xf borderId="20" fillId="17" fontId="23" numFmtId="0" xfId="0" applyBorder="1" applyFill="1" applyFont="1"/>
    <xf borderId="20" fillId="17" fontId="23" numFmtId="170" xfId="0" applyBorder="1" applyFont="1" applyNumberFormat="1"/>
    <xf borderId="0" fillId="0" fontId="4" numFmtId="0" xfId="0" applyFont="1"/>
    <xf borderId="20" fillId="0" fontId="4" numFmtId="0" xfId="0" applyBorder="1" applyFont="1"/>
    <xf borderId="20" fillId="18" fontId="4" numFmtId="0" xfId="0" applyBorder="1" applyFill="1" applyFont="1"/>
    <xf borderId="20" fillId="18" fontId="4" numFmtId="170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18">
    <tableStyle count="4" pivot="0" name="Ben Feb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Feb 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Feb 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ian Feb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ian Feb 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ian Feb 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ian Feb 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 Jan 26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ian Jan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Adrian Jan 26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Ben Dec 25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Ben Dec 25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104775</xdr:colOff>
      <xdr:row>3</xdr:row>
      <xdr:rowOff>28575</xdr:rowOff>
    </xdr:from>
    <xdr:ext cx="10467975" cy="427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514350</xdr:colOff>
      <xdr:row>1</xdr:row>
      <xdr:rowOff>114300</xdr:rowOff>
    </xdr:from>
    <xdr:ext cx="7753350" cy="5419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6" displayName="FEB_DASH" name="FEB_DASH" id="1">
  <tableColumns count="5">
    <tableColumn name="Date:" id="1"/>
    <tableColumn name="Calls Made:" id="2"/>
    <tableColumn name="Calls Answered:" id="3"/>
    <tableColumn name="Demos Booked:" id="4"/>
    <tableColumn name="Column 1" id="5"/>
  </tableColumns>
  <tableStyleInfo name="Ben Feb 26-style" showColumnStripes="0" showFirstColumn="1" showLastColumn="1" showRowStripes="1"/>
</table>
</file>

<file path=xl/tables/table2.xml><?xml version="1.0" encoding="utf-8"?>
<table xmlns="http://schemas.openxmlformats.org/spreadsheetml/2006/main" ref="M2:P42" displayName="FEB_SHOWS" name="FEB_SHOWS" id="2">
  <tableColumns count="4">
    <tableColumn name="CALLS SHOWN:" id="1"/>
    <tableColumn name="Date:" id="2"/>
    <tableColumn name="Closed?" id="3"/>
    <tableColumn name="Product" id="4"/>
  </tableColumns>
  <tableStyleInfo name="Ben Feb 26-style 2" showColumnStripes="0" showFirstColumn="1" showLastColumn="1" showRowStripes="1"/>
</table>
</file>

<file path=xl/tables/table3.xml><?xml version="1.0" encoding="utf-8"?>
<table xmlns="http://schemas.openxmlformats.org/spreadsheetml/2006/main" ref="R5:S8" displayName="Table5" name="Table5" id="3">
  <tableColumns count="2">
    <tableColumn name="Personal Tickets (Commission)" id="1"/>
    <tableColumn name="$" id="2"/>
  </tableColumns>
  <tableStyleInfo name="Ben Feb 26-style 3" showColumnStripes="0" showFirstColumn="1" showLastColumn="1" showRowStripes="1"/>
</table>
</file>

<file path=xl/tables/table4.xml><?xml version="1.0" encoding="utf-8"?>
<table xmlns="http://schemas.openxmlformats.org/spreadsheetml/2006/main" ref="A1:E22" displayName="FEBUARY_DASH" name="FEBUARY_DASH" id="4">
  <tableColumns count="5">
    <tableColumn name="Date:" id="1"/>
    <tableColumn name="Calls Made:" id="2"/>
    <tableColumn name="Calls Answered:" id="3"/>
    <tableColumn name="Demos Booked:" id="4"/>
    <tableColumn name="Column 1" id="5"/>
  </tableColumns>
  <tableStyleInfo name="Adrian Feb 26-style" showColumnStripes="0" showFirstColumn="1" showLastColumn="1" showRowStripes="1"/>
</table>
</file>

<file path=xl/tables/table5.xml><?xml version="1.0" encoding="utf-8"?>
<table xmlns="http://schemas.openxmlformats.org/spreadsheetml/2006/main" ref="J1:M23" displayName="FEBUARY_SHOWS" name="FEBUARY_SHOWS" id="5">
  <tableColumns count="4">
    <tableColumn name="CALLS SHOWN:" id="1"/>
    <tableColumn name="Date:" id="2"/>
    <tableColumn name="Closed?" id="3"/>
    <tableColumn name="Product" id="4"/>
  </tableColumns>
  <tableStyleInfo name="Adrian Feb 26-style 2" showColumnStripes="0" showFirstColumn="1" showLastColumn="1" showRowStripes="1"/>
</table>
</file>

<file path=xl/tables/table6.xml><?xml version="1.0" encoding="utf-8"?>
<table xmlns="http://schemas.openxmlformats.org/spreadsheetml/2006/main" ref="O5:Q9" displayName="Table7" name="Table7" id="6">
  <tableColumns count="3">
    <tableColumn name="Prev Month" id="1"/>
    <tableColumn name="$" id="2"/>
    <tableColumn name="Column 1" id="3"/>
  </tableColumns>
  <tableStyleInfo name="Adrian Feb 26-style 3" showColumnStripes="0" showFirstColumn="1" showLastColumn="1" showRowStripes="1"/>
</table>
</file>

<file path=xl/tables/table7.xml><?xml version="1.0" encoding="utf-8"?>
<table xmlns="http://schemas.openxmlformats.org/spreadsheetml/2006/main" ref="S5:V10" displayName="Table6" name="Table6" id="7">
  <tableColumns count="4">
    <tableColumn name="GAW" id="1"/>
    <tableColumn name="$" id="2"/>
    <tableColumn name="Column 1" id="3"/>
    <tableColumn name="Column 2" id="4"/>
  </tableColumns>
  <tableStyleInfo name="Adrian Feb 26-style 4" showColumnStripes="0" showFirstColumn="1" showLastColumn="1" showRowStripes="1"/>
</table>
</file>

<file path=xl/tables/table8.xml><?xml version="1.0" encoding="utf-8"?>
<table xmlns="http://schemas.openxmlformats.org/spreadsheetml/2006/main" ref="A1:E21" displayName="Jan" name="Jan" id="8">
  <tableColumns count="5">
    <tableColumn name="Date:" id="1"/>
    <tableColumn name="Calls Made:" id="2"/>
    <tableColumn name="Calls Answered:" id="3"/>
    <tableColumn name="Demos Booked:" id="4"/>
    <tableColumn name="Column 1" id="5"/>
  </tableColumns>
  <tableStyleInfo name="Ben Jan 26-style" showColumnStripes="0" showFirstColumn="1" showLastColumn="1" showRowStripes="1"/>
</table>
</file>

<file path=xl/tables/table9.xml><?xml version="1.0" encoding="utf-8"?>
<table xmlns="http://schemas.openxmlformats.org/spreadsheetml/2006/main" ref="I3:L45" displayName="Jan_Shows" name="Jan_Shows" id="9">
  <tableColumns count="4">
    <tableColumn name="CALLS SHOWN:" id="1"/>
    <tableColumn name="Date:" id="2"/>
    <tableColumn name="Closed?" id="3"/>
    <tableColumn name="Column 1" id="4"/>
  </tableColumns>
  <tableStyleInfo name="Ben Jan 26-style 2" showColumnStripes="0" showFirstColumn="1" showLastColumn="1" showRowStripes="1"/>
</table>
</file>

<file path=xl/tables/table10.xml><?xml version="1.0" encoding="utf-8"?>
<table xmlns="http://schemas.openxmlformats.org/spreadsheetml/2006/main" ref="M3:N7" displayName="Table1" name="Table1" id="10">
  <tableColumns count="2">
    <tableColumn name="NO SHOW:" id="1"/>
    <tableColumn name="Date:" id="2"/>
  </tableColumns>
  <tableStyleInfo name="Ben Jan 26-style 3" showColumnStripes="0" showFirstColumn="1" showLastColumn="1" showRowStripes="1"/>
</table>
</file>

<file path=xl/tables/table11.xml><?xml version="1.0" encoding="utf-8"?>
<table xmlns="http://schemas.openxmlformats.org/spreadsheetml/2006/main" ref="M12:N14" displayName="GAW" name="GAW" id="11">
  <tableColumns count="2">
    <tableColumn name="GAW" id="1"/>
    <tableColumn name="Close?" id="2"/>
  </tableColumns>
  <tableStyleInfo name="Ben Jan 26-style 4" showColumnStripes="0" showFirstColumn="1" showLastColumn="1" showRowStripes="1"/>
</table>
</file>

<file path=xl/tables/table12.xml><?xml version="1.0" encoding="utf-8"?>
<table xmlns="http://schemas.openxmlformats.org/spreadsheetml/2006/main" ref="M18:N19" displayName="PM" name="PM" id="12">
  <tableColumns count="2">
    <tableColumn name="Past Months:" id="1"/>
    <tableColumn name="Close?" id="2"/>
  </tableColumns>
  <tableStyleInfo name="Ben Jan 26-style 5" showColumnStripes="0" showFirstColumn="1" showLastColumn="1" showRowStripes="1"/>
</table>
</file>

<file path=xl/tables/table13.xml><?xml version="1.0" encoding="utf-8"?>
<table xmlns="http://schemas.openxmlformats.org/spreadsheetml/2006/main" ref="F27:G30" displayName="Rev" name="Rev" id="13">
  <tableColumns count="2">
    <tableColumn name="Personal Close:" id="1"/>
    <tableColumn name="$" id="2"/>
  </tableColumns>
  <tableStyleInfo name="Ben Jan 26-style 6" showColumnStripes="0" showFirstColumn="1" showLastColumn="1" showRowStripes="1"/>
</table>
</file>

<file path=xl/tables/table14.xml><?xml version="1.0" encoding="utf-8"?>
<table xmlns="http://schemas.openxmlformats.org/spreadsheetml/2006/main" ref="F48:G49" displayName="Table4" name="Table4" id="14">
  <tableColumns count="2">
    <tableColumn name="Other Outbound:" id="1"/>
    <tableColumn name="Close $" id="2"/>
  </tableColumns>
  <tableStyleInfo name="Ben Jan 26-style 7" showColumnStripes="0" showFirstColumn="1" showLastColumn="1" showRowStripes="1"/>
</table>
</file>

<file path=xl/tables/table15.xml><?xml version="1.0" encoding="utf-8"?>
<table xmlns="http://schemas.openxmlformats.org/spreadsheetml/2006/main" ref="A1:E22" displayName="Table2" name="Table2" id="15">
  <tableColumns count="5">
    <tableColumn name="I'm pretty confident about the numbers we have, so I think for Ben it's pretty clear. Total refs sourced is 84650 and " id="1"/>
    <tableColumn name="Calls Made:" id="2"/>
    <tableColumn name="Calls Answered:" id="3"/>
    <tableColumn name="Demos Booked:" id="4"/>
    <tableColumn name="Column 1" id="5"/>
  </tableColumns>
  <tableStyleInfo name="Adrian Jan 26-style" showColumnStripes="0" showFirstColumn="1" showLastColumn="1" showRowStripes="1"/>
</table>
</file>

<file path=xl/tables/table16.xml><?xml version="1.0" encoding="utf-8"?>
<table xmlns="http://schemas.openxmlformats.org/spreadsheetml/2006/main" totalsRowCount="1" ref="I3:L44" displayName="Table3" name="Table3" id="16">
  <tableColumns count="4">
    <tableColumn name="CALLS SHOWN:0" id="1"/>
    <tableColumn name="Date:" id="2"/>
    <tableColumn name="Closed?" id="3"/>
    <tableColumn name="Column 1" id="4"/>
  </tableColumns>
  <tableStyleInfo name="Adrian Jan 26-style 2" showColumnStripes="0" showFirstColumn="1" showLastColumn="1" showRowStripes="1"/>
</table>
</file>

<file path=xl/tables/table17.xml><?xml version="1.0" encoding="utf-8"?>
<table xmlns="http://schemas.openxmlformats.org/spreadsheetml/2006/main" ref="A1:F18" displayName="Dec" name="Dec" id="17">
  <tableColumns count="6">
    <tableColumn name="Date" id="1"/>
    <tableColumn name="Calls Made" id="2"/>
    <tableColumn name="Calls Answered" id="3"/>
    <tableColumn name="Demos Booked" id="4"/>
    <tableColumn name="Column 1" id="5"/>
    <tableColumn name="Column 2" id="6"/>
  </tableColumns>
  <tableStyleInfo name="Ben Dec 25-style" showColumnStripes="0" showFirstColumn="1" showLastColumn="1" showRowStripes="1"/>
</table>
</file>

<file path=xl/tables/table18.xml><?xml version="1.0" encoding="utf-8"?>
<table xmlns="http://schemas.openxmlformats.org/spreadsheetml/2006/main" ref="G3:I48" displayName="Calls_Shown_Dec" name="Calls_Shown_Dec" id="18">
  <tableColumns count="3">
    <tableColumn name="CALLS SHOWN Dec: 45" id="1"/>
    <tableColumn name="Column 2" id="2"/>
    <tableColumn name="Close?" id="3"/>
  </tableColumns>
  <tableStyleInfo name="Ben Dec 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mailto:clint4pres@gmail.com" TargetMode="External"/><Relationship Id="rId22" Type="http://schemas.openxmlformats.org/officeDocument/2006/relationships/table" Target="../tables/table3.xml"/><Relationship Id="rId10" Type="http://schemas.openxmlformats.org/officeDocument/2006/relationships/hyperlink" Target="mailto:jclarken@gmail.com" TargetMode="External"/><Relationship Id="rId21" Type="http://schemas.openxmlformats.org/officeDocument/2006/relationships/table" Target="../tables/table2.xml"/><Relationship Id="rId13" Type="http://schemas.openxmlformats.org/officeDocument/2006/relationships/hyperlink" Target="mailto:ctshc88@gmail.com" TargetMode="External"/><Relationship Id="rId12" Type="http://schemas.openxmlformats.org/officeDocument/2006/relationships/hyperlink" Target="mailto:info@advanced247restoration.com" TargetMode="External"/><Relationship Id="rId1" Type="http://schemas.openxmlformats.org/officeDocument/2006/relationships/hyperlink" Target="mailto:irasias@gmail.com" TargetMode="External"/><Relationship Id="rId2" Type="http://schemas.openxmlformats.org/officeDocument/2006/relationships/hyperlink" Target="mailto:jennifer@stinkbalmodorblocker.com" TargetMode="External"/><Relationship Id="rId3" Type="http://schemas.openxmlformats.org/officeDocument/2006/relationships/hyperlink" Target="mailto:jennifer@stinkbalmodorblocker.com" TargetMode="External"/><Relationship Id="rId4" Type="http://schemas.openxmlformats.org/officeDocument/2006/relationships/hyperlink" Target="mailto:heidimazanec@gmail.com" TargetMode="External"/><Relationship Id="rId9" Type="http://schemas.openxmlformats.org/officeDocument/2006/relationships/hyperlink" Target="mailto:hopejan12@gmail.com" TargetMode="External"/><Relationship Id="rId15" Type="http://schemas.openxmlformats.org/officeDocument/2006/relationships/hyperlink" Target="mailto:amandawilson@deerfootlodge.com" TargetMode="External"/><Relationship Id="rId14" Type="http://schemas.openxmlformats.org/officeDocument/2006/relationships/hyperlink" Target="mailto:hunter@theunclegroup.com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mailto:irasias@gmail.com" TargetMode="External"/><Relationship Id="rId6" Type="http://schemas.openxmlformats.org/officeDocument/2006/relationships/hyperlink" Target="mailto:howdy@doubleornothingtwostep.com" TargetMode="External"/><Relationship Id="rId7" Type="http://schemas.openxmlformats.org/officeDocument/2006/relationships/hyperlink" Target="mailto:meg@traveluxe.com" TargetMode="External"/><Relationship Id="rId8" Type="http://schemas.openxmlformats.org/officeDocument/2006/relationships/hyperlink" Target="mailto:micahfairchild5@gmail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" Type="http://schemas.openxmlformats.org/officeDocument/2006/relationships/hyperlink" Target="mailto:eliza@oatmama.com" TargetMode="External"/><Relationship Id="rId2" Type="http://schemas.openxmlformats.org/officeDocument/2006/relationships/hyperlink" Target="mailto:berel@maplestmanagement.com" TargetMode="External"/><Relationship Id="rId3" Type="http://schemas.openxmlformats.org/officeDocument/2006/relationships/hyperlink" Target="mailto:adam@macont.com" TargetMode="External"/><Relationship Id="rId4" Type="http://schemas.openxmlformats.org/officeDocument/2006/relationships/hyperlink" Target="mailto:adam@macont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11" Type="http://schemas.openxmlformats.org/officeDocument/2006/relationships/hyperlink" Target="mailto:jim@focusinsite.com" TargetMode="External"/><Relationship Id="rId22" Type="http://schemas.openxmlformats.org/officeDocument/2006/relationships/table" Target="../tables/table10.xml"/><Relationship Id="rId10" Type="http://schemas.openxmlformats.org/officeDocument/2006/relationships/hyperlink" Target="mailto:jacquelinegvwilliams@gmail.com" TargetMode="External"/><Relationship Id="rId21" Type="http://schemas.openxmlformats.org/officeDocument/2006/relationships/table" Target="../tables/table9.xml"/><Relationship Id="rId24" Type="http://schemas.openxmlformats.org/officeDocument/2006/relationships/table" Target="../tables/table12.xml"/><Relationship Id="rId12" Type="http://schemas.openxmlformats.org/officeDocument/2006/relationships/drawing" Target="../drawings/drawing6.xml"/><Relationship Id="rId23" Type="http://schemas.openxmlformats.org/officeDocument/2006/relationships/table" Target="../tables/table11.xml"/><Relationship Id="rId1" Type="http://schemas.openxmlformats.org/officeDocument/2006/relationships/hyperlink" Target="mailto:venkatmaran@gmail.com" TargetMode="External"/><Relationship Id="rId2" Type="http://schemas.openxmlformats.org/officeDocument/2006/relationships/hyperlink" Target="mailto:msayibucpa20@gmail.com" TargetMode="External"/><Relationship Id="rId3" Type="http://schemas.openxmlformats.org/officeDocument/2006/relationships/hyperlink" Target="mailto:tiffany@thefarmerandchef.com" TargetMode="External"/><Relationship Id="rId4" Type="http://schemas.openxmlformats.org/officeDocument/2006/relationships/hyperlink" Target="mailto:michaelmmehta@gmail.com" TargetMode="External"/><Relationship Id="rId9" Type="http://schemas.openxmlformats.org/officeDocument/2006/relationships/hyperlink" Target="mailto:antonio@adventuresgroup.us" TargetMode="External"/><Relationship Id="rId26" Type="http://schemas.openxmlformats.org/officeDocument/2006/relationships/table" Target="../tables/table14.xml"/><Relationship Id="rId25" Type="http://schemas.openxmlformats.org/officeDocument/2006/relationships/table" Target="../tables/table13.xml"/><Relationship Id="rId5" Type="http://schemas.openxmlformats.org/officeDocument/2006/relationships/hyperlink" Target="mailto:adnanchowdhury604@gmail.com" TargetMode="External"/><Relationship Id="rId6" Type="http://schemas.openxmlformats.org/officeDocument/2006/relationships/hyperlink" Target="mailto:ilosey60@gmail.com" TargetMode="External"/><Relationship Id="rId7" Type="http://schemas.openxmlformats.org/officeDocument/2006/relationships/hyperlink" Target="mailto:wutichai@hotmail.com" TargetMode="External"/><Relationship Id="rId8" Type="http://schemas.openxmlformats.org/officeDocument/2006/relationships/hyperlink" Target="mailto:hamish.patterson@kormax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retu.artur@gmail.com" TargetMode="External"/><Relationship Id="rId2" Type="http://schemas.openxmlformats.org/officeDocument/2006/relationships/drawing" Target="../drawings/drawing7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5.25"/>
    <col customWidth="1" min="3" max="3" width="33.25"/>
  </cols>
  <sheetData>
    <row r="1">
      <c r="A1" s="1" t="s">
        <v>0</v>
      </c>
      <c r="C1" s="1" t="s">
        <v>1</v>
      </c>
    </row>
    <row r="2">
      <c r="A2" s="2">
        <f>'Jan Dash'!C2+'Ben Dec 25'!E25 + 'Feb Dash'!C2</f>
        <v>392900</v>
      </c>
      <c r="C2" s="2">
        <f>A2/3</f>
        <v>130966.6667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75"/>
    <col customWidth="1" min="3" max="3" width="24.13"/>
  </cols>
  <sheetData>
    <row r="1">
      <c r="A1" s="1" t="s">
        <v>2</v>
      </c>
      <c r="B1" s="1" t="s">
        <v>3</v>
      </c>
      <c r="C1" s="1" t="s">
        <v>4</v>
      </c>
    </row>
    <row r="2">
      <c r="A2" s="3">
        <f>'Ben Feb 26'!J4+'Adrian Feb 26'!G3</f>
        <v>54</v>
      </c>
      <c r="B2" s="3">
        <f>'Ben Feb 26'!J7+'Adrian Feb 26'!G8</f>
        <v>45</v>
      </c>
      <c r="C2" s="4">
        <f>SUM('Adrian Feb 26'!G13 + 'Ben Feb 26'!J12)+B11</f>
        <v>150150</v>
      </c>
      <c r="E2" s="1" t="s">
        <v>5</v>
      </c>
      <c r="F2" s="5">
        <f>(C2/150000) * 100</f>
        <v>100.1</v>
      </c>
    </row>
    <row r="3">
      <c r="E3" s="6" t="s">
        <v>6</v>
      </c>
      <c r="F3" s="7">
        <f>DAY(TODAY()) / DAY(EOMONTH(TODAY(), 6))*100</f>
        <v>70.96774194</v>
      </c>
    </row>
    <row r="6">
      <c r="A6" s="8"/>
    </row>
    <row r="7">
      <c r="A7" s="1"/>
    </row>
    <row r="8">
      <c r="A8" s="9"/>
      <c r="B8" s="9"/>
      <c r="C8" s="9"/>
      <c r="D8" s="9"/>
    </row>
    <row r="9">
      <c r="A9" s="10"/>
      <c r="B9" s="10"/>
    </row>
    <row r="10">
      <c r="A10" s="11" t="s">
        <v>7</v>
      </c>
    </row>
    <row r="11">
      <c r="A11" s="11" t="s">
        <v>8</v>
      </c>
      <c r="B11" s="12">
        <v>12900.0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38"/>
    <col customWidth="1" min="3" max="3" width="17.38"/>
    <col customWidth="1" min="4" max="4" width="17.0"/>
    <col customWidth="1" min="6" max="6" width="20.0"/>
    <col customWidth="1" min="9" max="9" width="21.75"/>
    <col customWidth="1" min="10" max="10" width="16.38"/>
    <col customWidth="1" min="18" max="18" width="29.13"/>
  </cols>
  <sheetData>
    <row r="1" ht="22.5" customHeight="1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</row>
    <row r="2" ht="22.5" customHeight="1">
      <c r="A2" s="15">
        <v>46055.0</v>
      </c>
      <c r="B2" s="16">
        <v>32.0</v>
      </c>
      <c r="C2" s="16">
        <v>7.0</v>
      </c>
      <c r="D2" s="17">
        <v>1.0</v>
      </c>
      <c r="E2" s="18"/>
      <c r="I2" s="19" t="s">
        <v>14</v>
      </c>
      <c r="J2" s="11">
        <v>546.0</v>
      </c>
      <c r="M2" s="13" t="s">
        <v>15</v>
      </c>
      <c r="N2" s="13" t="s">
        <v>9</v>
      </c>
      <c r="O2" s="13" t="s">
        <v>16</v>
      </c>
      <c r="P2" s="14" t="s">
        <v>17</v>
      </c>
    </row>
    <row r="3" ht="22.5" customHeight="1">
      <c r="A3" s="15">
        <v>46056.0</v>
      </c>
      <c r="B3" s="17">
        <v>60.0</v>
      </c>
      <c r="C3" s="17">
        <v>12.0</v>
      </c>
      <c r="D3" s="17">
        <v>2.0</v>
      </c>
      <c r="E3" s="17" t="s">
        <v>18</v>
      </c>
      <c r="I3" s="19" t="s">
        <v>19</v>
      </c>
      <c r="J3" s="20">
        <f>SUM(FEB_DASH[Calls Answered:])</f>
        <v>42</v>
      </c>
      <c r="M3" s="21" t="s">
        <v>20</v>
      </c>
      <c r="N3" s="22">
        <v>46056.0</v>
      </c>
      <c r="O3" s="23">
        <v>2000.0</v>
      </c>
      <c r="P3" s="24" t="s">
        <v>21</v>
      </c>
    </row>
    <row r="4" ht="22.5" customHeight="1">
      <c r="A4" s="15">
        <v>46057.0</v>
      </c>
      <c r="B4" s="17">
        <v>90.0</v>
      </c>
      <c r="C4" s="17">
        <v>6.0</v>
      </c>
      <c r="D4" s="17">
        <v>2.0</v>
      </c>
      <c r="E4" s="18">
        <f>SUM(D2:D6)</f>
        <v>9</v>
      </c>
      <c r="I4" s="19" t="s">
        <v>22</v>
      </c>
      <c r="J4" s="20">
        <f>SUM(FEB_DASH[Demos Booked:])</f>
        <v>27</v>
      </c>
      <c r="M4" s="16" t="s">
        <v>23</v>
      </c>
      <c r="N4" s="25">
        <v>46057.0</v>
      </c>
      <c r="O4" s="26"/>
      <c r="P4" s="17" t="s">
        <v>21</v>
      </c>
    </row>
    <row r="5" ht="22.5" customHeight="1">
      <c r="A5" s="15">
        <v>46058.0</v>
      </c>
      <c r="B5" s="17">
        <v>58.0</v>
      </c>
      <c r="C5" s="17">
        <v>9.0</v>
      </c>
      <c r="D5" s="17">
        <v>1.0</v>
      </c>
      <c r="E5" s="18"/>
      <c r="I5" s="19" t="s">
        <v>24</v>
      </c>
      <c r="J5" s="20">
        <f>J2/COUNTA(FEB_DASH[Calls Made:])</f>
        <v>54.6</v>
      </c>
      <c r="M5" s="27" t="s">
        <v>25</v>
      </c>
      <c r="N5" s="25">
        <v>46058.0</v>
      </c>
      <c r="O5" s="26"/>
      <c r="P5" s="17" t="s">
        <v>21</v>
      </c>
      <c r="R5" s="13" t="s">
        <v>26</v>
      </c>
      <c r="S5" s="13" t="s">
        <v>27</v>
      </c>
    </row>
    <row r="6" ht="22.5" customHeight="1">
      <c r="A6" s="15">
        <v>46059.0</v>
      </c>
      <c r="B6" s="17">
        <v>59.0</v>
      </c>
      <c r="C6" s="17">
        <v>8.0</v>
      </c>
      <c r="D6" s="17">
        <v>3.0</v>
      </c>
      <c r="E6" s="18"/>
      <c r="I6" s="19" t="s">
        <v>28</v>
      </c>
      <c r="J6" s="20">
        <f>J4/COUNTA(FEB_DASH[Demos Booked:])</f>
        <v>2.25</v>
      </c>
      <c r="M6" s="17" t="s">
        <v>29</v>
      </c>
      <c r="N6" s="28">
        <v>46058.0</v>
      </c>
      <c r="O6" s="26"/>
      <c r="P6" s="17" t="s">
        <v>30</v>
      </c>
      <c r="R6" s="24" t="s">
        <v>31</v>
      </c>
      <c r="S6" s="24">
        <v>2500.0</v>
      </c>
    </row>
    <row r="7" ht="22.5" customHeight="1">
      <c r="A7" s="15">
        <v>46062.0</v>
      </c>
      <c r="B7" s="17">
        <v>60.0</v>
      </c>
      <c r="C7" s="17"/>
      <c r="D7" s="17">
        <v>3.0</v>
      </c>
      <c r="E7" s="18"/>
      <c r="I7" s="19" t="s">
        <v>32</v>
      </c>
      <c r="J7" s="20">
        <f>COUNTA(FEB_SHOWS[CALLS SHOWN:])</f>
        <v>23</v>
      </c>
      <c r="M7" s="17" t="s">
        <v>33</v>
      </c>
      <c r="N7" s="28">
        <v>46058.0</v>
      </c>
      <c r="O7" s="26"/>
      <c r="P7" s="17" t="s">
        <v>30</v>
      </c>
      <c r="R7" s="21" t="s">
        <v>25</v>
      </c>
      <c r="S7" s="24">
        <v>2750.0</v>
      </c>
    </row>
    <row r="8" ht="22.5" customHeight="1">
      <c r="A8" s="15">
        <v>46063.0</v>
      </c>
      <c r="B8" s="17">
        <v>62.0</v>
      </c>
      <c r="C8" s="17"/>
      <c r="D8" s="17">
        <v>4.0</v>
      </c>
      <c r="E8" s="17" t="s">
        <v>34</v>
      </c>
      <c r="I8" s="19" t="s">
        <v>35</v>
      </c>
      <c r="J8" s="20">
        <f>J7/J4</f>
        <v>0.8518518519</v>
      </c>
      <c r="M8" s="21" t="s">
        <v>36</v>
      </c>
      <c r="N8" s="22">
        <v>46062.0</v>
      </c>
      <c r="O8" s="23">
        <v>3000.0</v>
      </c>
      <c r="P8" s="24" t="s">
        <v>21</v>
      </c>
      <c r="R8" s="21" t="s">
        <v>20</v>
      </c>
      <c r="S8" s="24">
        <v>2000.0</v>
      </c>
    </row>
    <row r="9" ht="22.5" customHeight="1">
      <c r="A9" s="15">
        <v>46064.0</v>
      </c>
      <c r="B9" s="17">
        <v>57.0</v>
      </c>
      <c r="C9" s="17"/>
      <c r="D9" s="17">
        <v>3.0</v>
      </c>
      <c r="E9" s="18">
        <f>SUM(D7:D11)</f>
        <v>16</v>
      </c>
      <c r="I9" s="19" t="s">
        <v>37</v>
      </c>
      <c r="J9" s="20">
        <f>COUNTA(FEB_SHOWS[Closed?])/J7</f>
        <v>0.3913043478</v>
      </c>
      <c r="M9" s="17" t="s">
        <v>38</v>
      </c>
      <c r="N9" s="28">
        <v>46063.0</v>
      </c>
      <c r="O9" s="26"/>
      <c r="P9" s="17" t="s">
        <v>39</v>
      </c>
    </row>
    <row r="10" ht="22.5" customHeight="1">
      <c r="A10" s="15">
        <v>46065.0</v>
      </c>
      <c r="B10" s="17">
        <v>75.0</v>
      </c>
      <c r="C10" s="17"/>
      <c r="D10" s="17">
        <v>3.0</v>
      </c>
      <c r="E10" s="18"/>
      <c r="I10" s="19" t="s">
        <v>40</v>
      </c>
      <c r="J10" s="29">
        <f>SUM(FEB_SHOWS[Closed?])</f>
        <v>65500</v>
      </c>
      <c r="M10" s="27" t="s">
        <v>41</v>
      </c>
      <c r="N10" s="28">
        <v>46063.0</v>
      </c>
      <c r="O10" s="26"/>
      <c r="P10" s="17" t="s">
        <v>39</v>
      </c>
    </row>
    <row r="11" ht="22.5" customHeight="1">
      <c r="A11" s="15">
        <v>46066.0</v>
      </c>
      <c r="B11" s="17">
        <v>39.0</v>
      </c>
      <c r="C11" s="17"/>
      <c r="D11" s="17">
        <v>3.0</v>
      </c>
      <c r="E11" s="18"/>
      <c r="I11" s="19" t="s">
        <v>42</v>
      </c>
      <c r="J11" s="20">
        <f>SUM(Table5[$])</f>
        <v>7250</v>
      </c>
      <c r="K11" s="19" t="s">
        <v>43</v>
      </c>
      <c r="L11" s="20">
        <f>J11*0.2</f>
        <v>1450</v>
      </c>
      <c r="M11" s="21" t="s">
        <v>44</v>
      </c>
      <c r="N11" s="22">
        <v>46063.0</v>
      </c>
      <c r="O11" s="23">
        <v>24000.0</v>
      </c>
      <c r="P11" s="24" t="s">
        <v>39</v>
      </c>
    </row>
    <row r="12" ht="22.5" customHeight="1">
      <c r="A12" s="30">
        <v>46069.0</v>
      </c>
      <c r="B12" s="31"/>
      <c r="C12" s="31"/>
      <c r="D12" s="31"/>
      <c r="E12" s="31" t="s">
        <v>45</v>
      </c>
      <c r="I12" s="32" t="s">
        <v>46</v>
      </c>
      <c r="J12" s="33">
        <f>SUM(J10:J11)</f>
        <v>72750</v>
      </c>
      <c r="M12" s="17" t="s">
        <v>47</v>
      </c>
      <c r="N12" s="28">
        <v>46064.0</v>
      </c>
      <c r="O12" s="26"/>
      <c r="P12" s="17" t="s">
        <v>39</v>
      </c>
    </row>
    <row r="13" ht="22.5" customHeight="1">
      <c r="A13" s="15">
        <v>46070.0</v>
      </c>
      <c r="B13" s="17"/>
      <c r="C13" s="17"/>
      <c r="D13" s="17"/>
      <c r="E13" s="18"/>
      <c r="M13" s="17" t="s">
        <v>48</v>
      </c>
      <c r="N13" s="28">
        <v>46064.0</v>
      </c>
      <c r="O13" s="26"/>
      <c r="P13" s="17" t="s">
        <v>39</v>
      </c>
    </row>
    <row r="14" ht="22.5" customHeight="1">
      <c r="A14" s="15">
        <v>46071.0</v>
      </c>
      <c r="B14" s="17"/>
      <c r="C14" s="17"/>
      <c r="D14" s="17">
        <v>1.0</v>
      </c>
      <c r="E14" s="18"/>
      <c r="M14" s="21" t="s">
        <v>49</v>
      </c>
      <c r="N14" s="22">
        <v>46066.0</v>
      </c>
      <c r="O14" s="23">
        <v>11500.0</v>
      </c>
      <c r="P14" s="24" t="s">
        <v>30</v>
      </c>
    </row>
    <row r="15" ht="22.5" customHeight="1">
      <c r="A15" s="15">
        <v>46072.0</v>
      </c>
      <c r="B15" s="17"/>
      <c r="C15" s="17"/>
      <c r="D15" s="17">
        <v>1.0</v>
      </c>
      <c r="E15" s="18"/>
      <c r="I15" s="6" t="s">
        <v>50</v>
      </c>
      <c r="J15" s="7">
        <f>J7/40*100</f>
        <v>57.5</v>
      </c>
      <c r="K15" s="20">
        <f>J7*62.5</f>
        <v>1437.5</v>
      </c>
      <c r="M15" s="21" t="s">
        <v>51</v>
      </c>
      <c r="N15" s="22">
        <v>46066.0</v>
      </c>
      <c r="O15" s="23">
        <v>2000.0</v>
      </c>
      <c r="P15" s="24" t="s">
        <v>21</v>
      </c>
    </row>
    <row r="16" ht="22.5" customHeight="1">
      <c r="A16" s="15">
        <v>46073.0</v>
      </c>
      <c r="B16" s="17"/>
      <c r="C16" s="17"/>
      <c r="D16" s="17"/>
      <c r="E16" s="18"/>
      <c r="I16" s="6" t="s">
        <v>52</v>
      </c>
      <c r="J16" s="7">
        <f>DAY(TODAY()) / DAY(EOMONTH(TODAY(), 6))*100</f>
        <v>70.96774194</v>
      </c>
      <c r="K16" s="20">
        <f>1666+((K15+L11)*0.71)</f>
        <v>3716.125</v>
      </c>
      <c r="M16" s="34" t="s">
        <v>53</v>
      </c>
      <c r="N16" s="28">
        <v>46066.0</v>
      </c>
      <c r="O16" s="35">
        <v>12000.0</v>
      </c>
      <c r="P16" s="17" t="s">
        <v>39</v>
      </c>
    </row>
    <row r="17" ht="22.5" customHeight="1">
      <c r="A17" s="15">
        <v>46074.0</v>
      </c>
      <c r="B17" s="17"/>
      <c r="C17" s="17"/>
      <c r="D17" s="17"/>
      <c r="E17" s="18"/>
      <c r="M17" s="34" t="s">
        <v>54</v>
      </c>
      <c r="N17" s="28">
        <v>46066.0</v>
      </c>
      <c r="O17" s="26"/>
      <c r="P17" s="17" t="s">
        <v>30</v>
      </c>
    </row>
    <row r="18" ht="22.5" customHeight="1">
      <c r="A18" s="15">
        <v>46075.0</v>
      </c>
      <c r="B18" s="17"/>
      <c r="C18" s="17"/>
      <c r="D18" s="17"/>
      <c r="E18" s="18"/>
      <c r="M18" s="24" t="s">
        <v>55</v>
      </c>
      <c r="N18" s="22">
        <v>46066.0</v>
      </c>
      <c r="O18" s="23">
        <v>4500.0</v>
      </c>
      <c r="P18" s="24" t="s">
        <v>21</v>
      </c>
    </row>
    <row r="19" ht="22.5" customHeight="1">
      <c r="A19" s="15">
        <v>46076.0</v>
      </c>
      <c r="B19" s="17"/>
      <c r="C19" s="17"/>
      <c r="D19" s="17"/>
      <c r="E19" s="18"/>
      <c r="I19" s="19" t="s">
        <v>56</v>
      </c>
      <c r="J19" s="36">
        <f>'Ben Jan 26'!G32+J12</f>
        <v>219597</v>
      </c>
      <c r="M19" s="17" t="s">
        <v>57</v>
      </c>
      <c r="N19" s="28">
        <v>46066.0</v>
      </c>
      <c r="O19" s="26"/>
      <c r="P19" s="17" t="s">
        <v>39</v>
      </c>
    </row>
    <row r="20" ht="22.5" customHeight="1">
      <c r="A20" s="15">
        <v>46077.0</v>
      </c>
      <c r="B20" s="17"/>
      <c r="C20" s="17"/>
      <c r="D20" s="17"/>
      <c r="E20" s="18"/>
      <c r="I20" s="19"/>
      <c r="J20" s="37"/>
      <c r="M20" s="27" t="s">
        <v>58</v>
      </c>
      <c r="N20" s="28">
        <v>46069.0</v>
      </c>
      <c r="O20" s="26"/>
      <c r="P20" s="17" t="s">
        <v>39</v>
      </c>
    </row>
    <row r="21" ht="22.5" customHeight="1">
      <c r="A21" s="15">
        <v>46078.0</v>
      </c>
      <c r="B21" s="17"/>
      <c r="C21" s="17"/>
      <c r="D21" s="17"/>
      <c r="E21" s="18"/>
      <c r="I21" s="19"/>
      <c r="J21" s="37"/>
      <c r="M21" s="24" t="s">
        <v>59</v>
      </c>
      <c r="N21" s="22">
        <v>46069.0</v>
      </c>
      <c r="O21" s="23">
        <v>2500.0</v>
      </c>
      <c r="P21" s="24" t="s">
        <v>21</v>
      </c>
    </row>
    <row r="22" ht="22.5" customHeight="1">
      <c r="A22" s="15">
        <v>46079.0</v>
      </c>
      <c r="B22" s="17"/>
      <c r="C22" s="17"/>
      <c r="D22" s="17"/>
      <c r="E22" s="18"/>
      <c r="M22" s="17" t="s">
        <v>60</v>
      </c>
      <c r="N22" s="28">
        <v>46069.0</v>
      </c>
      <c r="O22" s="35"/>
      <c r="P22" s="17" t="s">
        <v>39</v>
      </c>
    </row>
    <row r="23" ht="22.5" customHeight="1">
      <c r="A23" s="15">
        <v>46080.0</v>
      </c>
      <c r="B23" s="17"/>
      <c r="C23" s="17"/>
      <c r="D23" s="17"/>
      <c r="E23" s="18"/>
      <c r="M23" s="34" t="s">
        <v>61</v>
      </c>
      <c r="N23" s="28">
        <v>46069.0</v>
      </c>
      <c r="O23" s="26"/>
      <c r="P23" s="17" t="s">
        <v>39</v>
      </c>
    </row>
    <row r="24" ht="22.5" customHeight="1">
      <c r="A24" s="15">
        <v>46081.0</v>
      </c>
      <c r="B24" s="17"/>
      <c r="C24" s="17"/>
      <c r="D24" s="17"/>
      <c r="E24" s="18"/>
      <c r="M24" s="34" t="s">
        <v>62</v>
      </c>
      <c r="N24" s="28">
        <v>46072.0</v>
      </c>
      <c r="O24" s="35"/>
      <c r="P24" s="17" t="s">
        <v>30</v>
      </c>
    </row>
    <row r="25" ht="22.5" customHeight="1">
      <c r="A25" s="38"/>
      <c r="B25" s="17"/>
      <c r="C25" s="17"/>
      <c r="D25" s="17"/>
      <c r="E25" s="18"/>
      <c r="M25" s="21" t="s">
        <v>63</v>
      </c>
      <c r="N25" s="22">
        <v>46063.0</v>
      </c>
      <c r="O25" s="23">
        <v>4000.0</v>
      </c>
      <c r="P25" s="24" t="s">
        <v>21</v>
      </c>
    </row>
    <row r="26" ht="22.5" customHeight="1">
      <c r="A26" s="38"/>
      <c r="B26" s="17"/>
      <c r="C26" s="17"/>
      <c r="D26" s="17"/>
      <c r="E26" s="18"/>
      <c r="M26" s="17"/>
      <c r="N26" s="28"/>
      <c r="O26" s="26"/>
      <c r="P26" s="39"/>
    </row>
    <row r="27" ht="22.5" customHeight="1">
      <c r="M27" s="17"/>
      <c r="N27" s="28"/>
      <c r="O27" s="26"/>
      <c r="P27" s="39"/>
    </row>
    <row r="28" ht="22.5" customHeight="1">
      <c r="M28" s="17"/>
      <c r="N28" s="28"/>
      <c r="O28" s="26"/>
      <c r="P28" s="39"/>
    </row>
    <row r="29" ht="22.5" customHeight="1">
      <c r="M29" s="17"/>
      <c r="N29" s="28"/>
      <c r="O29" s="26"/>
      <c r="P29" s="39"/>
    </row>
    <row r="30" ht="22.5" customHeight="1">
      <c r="M30" s="17"/>
      <c r="N30" s="28"/>
      <c r="O30" s="26"/>
      <c r="P30" s="39"/>
    </row>
    <row r="31" ht="22.5" customHeight="1">
      <c r="M31" s="17"/>
      <c r="N31" s="28"/>
      <c r="O31" s="26"/>
      <c r="P31" s="39"/>
    </row>
    <row r="32" ht="22.5" customHeight="1">
      <c r="M32" s="17"/>
      <c r="N32" s="28"/>
      <c r="O32" s="26"/>
      <c r="P32" s="39"/>
    </row>
    <row r="33" ht="22.5" customHeight="1">
      <c r="M33" s="17"/>
      <c r="N33" s="28"/>
      <c r="O33" s="26"/>
      <c r="P33" s="39"/>
    </row>
    <row r="34" ht="22.5" customHeight="1">
      <c r="M34" s="17"/>
      <c r="N34" s="28"/>
      <c r="O34" s="26"/>
      <c r="P34" s="39"/>
    </row>
    <row r="35" ht="22.5" customHeight="1">
      <c r="M35" s="17"/>
      <c r="N35" s="28"/>
      <c r="O35" s="26"/>
      <c r="P35" s="39"/>
    </row>
    <row r="36" ht="22.5" customHeight="1">
      <c r="M36" s="17"/>
      <c r="N36" s="28"/>
      <c r="O36" s="26"/>
      <c r="P36" s="39"/>
    </row>
    <row r="37" ht="22.5" customHeight="1">
      <c r="M37" s="17"/>
      <c r="N37" s="28"/>
      <c r="O37" s="26"/>
      <c r="P37" s="39"/>
    </row>
    <row r="38" ht="22.5" customHeight="1">
      <c r="M38" s="17"/>
      <c r="N38" s="28"/>
      <c r="O38" s="26"/>
      <c r="P38" s="39"/>
    </row>
    <row r="39" ht="22.5" customHeight="1">
      <c r="M39" s="17"/>
      <c r="N39" s="28"/>
      <c r="O39" s="26"/>
      <c r="P39" s="39"/>
    </row>
    <row r="40" ht="22.5" customHeight="1">
      <c r="M40" s="17"/>
      <c r="N40" s="28"/>
      <c r="O40" s="26"/>
      <c r="P40" s="39"/>
    </row>
    <row r="41" ht="22.5" customHeight="1">
      <c r="M41" s="17"/>
      <c r="N41" s="28"/>
      <c r="O41" s="26"/>
      <c r="P41" s="39"/>
    </row>
    <row r="42" ht="22.5" customHeight="1">
      <c r="M42" s="17"/>
      <c r="N42" s="28"/>
      <c r="O42" s="26"/>
      <c r="P42" s="39"/>
    </row>
  </sheetData>
  <dataValidations>
    <dataValidation type="custom" allowBlank="1" showDropDown="1" sqref="A2:A26 N3:N42">
      <formula1>OR(NOT(ISERROR(DATEVALUE(A2))), AND(ISNUMBER(A2), LEFT(CELL("format", A2))="D"))</formula1>
    </dataValidation>
    <dataValidation type="custom" allowBlank="1" showDropDown="1" sqref="O3:O42">
      <formula1>AND(ISNUMBER(O3),(NOT(OR(NOT(ISERROR(DATEVALUE(O3))), AND(ISNUMBER(O3), LEFT(CELL("format", O3))="D")))))</formula1>
    </dataValidation>
  </dataValidations>
  <hyperlinks>
    <hyperlink r:id="rId1" ref="M3"/>
    <hyperlink r:id="rId2" ref="M5"/>
    <hyperlink r:id="rId3" ref="R7"/>
    <hyperlink r:id="rId4" ref="M8"/>
    <hyperlink r:id="rId5" ref="R8"/>
    <hyperlink r:id="rId6" ref="M10"/>
    <hyperlink r:id="rId7" ref="M11"/>
    <hyperlink r:id="rId8" ref="M14"/>
    <hyperlink r:id="rId9" ref="M15"/>
    <hyperlink r:id="rId10" ref="M16"/>
    <hyperlink r:id="rId11" ref="M17"/>
    <hyperlink r:id="rId12" ref="M20"/>
    <hyperlink r:id="rId13" ref="M23"/>
    <hyperlink r:id="rId14" ref="M24"/>
    <hyperlink r:id="rId15" ref="M25"/>
  </hyperlinks>
  <drawing r:id="rId16"/>
  <tableParts count="3"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38"/>
    <col customWidth="1" min="3" max="3" width="17.38"/>
    <col customWidth="1" min="4" max="4" width="17.0"/>
    <col customWidth="1" min="6" max="6" width="19.88"/>
    <col customWidth="1" min="10" max="10" width="18.13"/>
    <col customWidth="1" min="13" max="13" width="14.88"/>
    <col customWidth="1" min="15" max="15" width="14.0"/>
    <col customWidth="1" min="17" max="17" width="22.13"/>
  </cols>
  <sheetData>
    <row r="1" ht="22.5" customHeight="1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  <c r="F1" s="19" t="s">
        <v>14</v>
      </c>
      <c r="G1" s="20">
        <f>SUM(FEBUARY_DASH[Calls Made:])</f>
        <v>0</v>
      </c>
      <c r="J1" s="13" t="s">
        <v>15</v>
      </c>
      <c r="K1" s="13" t="s">
        <v>9</v>
      </c>
      <c r="L1" s="13" t="s">
        <v>16</v>
      </c>
      <c r="M1" s="14" t="s">
        <v>17</v>
      </c>
    </row>
    <row r="2" ht="22.5" customHeight="1">
      <c r="A2" s="15">
        <v>46055.0</v>
      </c>
      <c r="B2" s="17"/>
      <c r="C2" s="17"/>
      <c r="D2" s="17">
        <v>2.0</v>
      </c>
      <c r="E2" s="18"/>
      <c r="F2" s="19" t="s">
        <v>19</v>
      </c>
      <c r="G2" s="20">
        <f>SUM(FEBUARY_DASH[Calls Answered:])</f>
        <v>0</v>
      </c>
      <c r="J2" s="17" t="s">
        <v>64</v>
      </c>
      <c r="K2" s="28">
        <v>46055.0</v>
      </c>
      <c r="L2" s="26"/>
      <c r="M2" s="17" t="s">
        <v>30</v>
      </c>
    </row>
    <row r="3" ht="22.5" customHeight="1">
      <c r="A3" s="15">
        <v>46056.0</v>
      </c>
      <c r="B3" s="17"/>
      <c r="C3" s="17"/>
      <c r="D3" s="17">
        <v>2.0</v>
      </c>
      <c r="E3" s="18"/>
      <c r="F3" s="19" t="s">
        <v>22</v>
      </c>
      <c r="G3" s="20">
        <f>SUM(FEB_DASH[Demos Booked:])</f>
        <v>27</v>
      </c>
      <c r="J3" s="17" t="s">
        <v>65</v>
      </c>
      <c r="K3" s="28">
        <v>46056.0</v>
      </c>
      <c r="L3" s="26"/>
      <c r="M3" s="17" t="s">
        <v>30</v>
      </c>
    </row>
    <row r="4" ht="22.5" customHeight="1">
      <c r="A4" s="15">
        <v>46057.0</v>
      </c>
      <c r="B4" s="17"/>
      <c r="C4" s="17"/>
      <c r="D4" s="16">
        <v>4.0</v>
      </c>
      <c r="E4" s="17"/>
      <c r="F4" s="19" t="s">
        <v>24</v>
      </c>
      <c r="G4" s="20" t="str">
        <f>SUM(FEBUARY_DASH[Calls Made:])/COUNTA(FEBUARY_DASH[Calls Made:])</f>
        <v>#DIV/0!</v>
      </c>
      <c r="J4" s="17" t="s">
        <v>66</v>
      </c>
      <c r="K4" s="28">
        <v>46057.0</v>
      </c>
      <c r="L4" s="26"/>
      <c r="M4" s="17" t="s">
        <v>21</v>
      </c>
    </row>
    <row r="5" ht="22.5" customHeight="1">
      <c r="A5" s="15">
        <v>46058.0</v>
      </c>
      <c r="B5" s="17"/>
      <c r="C5" s="17"/>
      <c r="D5" s="17">
        <v>0.0</v>
      </c>
      <c r="E5" s="18"/>
      <c r="F5" s="19" t="s">
        <v>28</v>
      </c>
      <c r="G5" s="20">
        <f>G3/COUNTA(FEBUARY_DASH[Demos Booked:])</f>
        <v>1.928571429</v>
      </c>
      <c r="J5" s="24" t="s">
        <v>67</v>
      </c>
      <c r="K5" s="22">
        <v>46057.0</v>
      </c>
      <c r="L5" s="23">
        <v>12000.0</v>
      </c>
      <c r="M5" s="24" t="s">
        <v>39</v>
      </c>
      <c r="O5" s="13" t="s">
        <v>68</v>
      </c>
      <c r="P5" s="13" t="s">
        <v>27</v>
      </c>
      <c r="Q5" s="14" t="s">
        <v>13</v>
      </c>
      <c r="S5" s="13" t="s">
        <v>21</v>
      </c>
      <c r="T5" s="13" t="s">
        <v>27</v>
      </c>
      <c r="U5" s="14" t="s">
        <v>13</v>
      </c>
      <c r="V5" s="14" t="s">
        <v>69</v>
      </c>
    </row>
    <row r="6" ht="22.5" customHeight="1">
      <c r="A6" s="15">
        <v>46059.0</v>
      </c>
      <c r="B6" s="17"/>
      <c r="C6" s="17"/>
      <c r="D6" s="17">
        <v>3.0</v>
      </c>
      <c r="E6" s="18"/>
      <c r="F6" s="19" t="s">
        <v>70</v>
      </c>
      <c r="G6" s="20" t="str">
        <f t="shared" ref="G6:G7" si="1">G2/G1</f>
        <v>#DIV/0!</v>
      </c>
      <c r="J6" s="17" t="s">
        <v>71</v>
      </c>
      <c r="K6" s="28">
        <v>46058.0</v>
      </c>
      <c r="L6" s="26"/>
      <c r="M6" s="17" t="s">
        <v>39</v>
      </c>
      <c r="O6" s="24" t="s">
        <v>72</v>
      </c>
      <c r="P6" s="23">
        <v>12000.0</v>
      </c>
      <c r="Q6" s="40" t="s">
        <v>73</v>
      </c>
      <c r="S6" s="21" t="s">
        <v>74</v>
      </c>
      <c r="T6" s="23">
        <v>3000.0</v>
      </c>
      <c r="U6" s="41">
        <v>46055.0</v>
      </c>
      <c r="V6" s="40" t="s">
        <v>75</v>
      </c>
    </row>
    <row r="7" ht="22.5" customHeight="1">
      <c r="A7" s="15">
        <v>46060.0</v>
      </c>
      <c r="B7" s="17"/>
      <c r="C7" s="17"/>
      <c r="D7" s="17"/>
      <c r="E7" s="18"/>
      <c r="F7" s="19" t="s">
        <v>76</v>
      </c>
      <c r="G7" s="20" t="str">
        <f t="shared" si="1"/>
        <v>#DIV/0!</v>
      </c>
      <c r="J7" s="24" t="s">
        <v>77</v>
      </c>
      <c r="K7" s="22">
        <v>46059.0</v>
      </c>
      <c r="L7" s="23">
        <v>12000.0</v>
      </c>
      <c r="M7" s="24" t="s">
        <v>39</v>
      </c>
      <c r="O7" s="24" t="s">
        <v>72</v>
      </c>
      <c r="P7" s="23">
        <v>2500.0</v>
      </c>
      <c r="Q7" s="40" t="s">
        <v>21</v>
      </c>
      <c r="S7" s="21" t="s">
        <v>78</v>
      </c>
      <c r="T7" s="23">
        <v>2500.0</v>
      </c>
      <c r="U7" s="41">
        <v>46057.0</v>
      </c>
      <c r="V7" s="40" t="s">
        <v>75</v>
      </c>
    </row>
    <row r="8" ht="22.5" customHeight="1">
      <c r="A8" s="15">
        <v>46061.0</v>
      </c>
      <c r="B8" s="17"/>
      <c r="C8" s="17"/>
      <c r="D8" s="17"/>
      <c r="E8" s="18"/>
      <c r="F8" s="19" t="s">
        <v>32</v>
      </c>
      <c r="G8" s="20">
        <f>COUNTA(FEBUARY_SHOWS[CALLS SHOWN:])</f>
        <v>22</v>
      </c>
      <c r="J8" s="17" t="s">
        <v>79</v>
      </c>
      <c r="K8" s="28">
        <v>46062.0</v>
      </c>
      <c r="L8" s="26"/>
      <c r="M8" s="17" t="s">
        <v>21</v>
      </c>
      <c r="O8" s="24" t="s">
        <v>80</v>
      </c>
      <c r="P8" s="23">
        <v>2500.0</v>
      </c>
      <c r="Q8" s="40" t="s">
        <v>81</v>
      </c>
      <c r="S8" s="42" t="s">
        <v>82</v>
      </c>
      <c r="T8" s="23">
        <v>3000.0</v>
      </c>
      <c r="U8" s="41">
        <v>46062.0</v>
      </c>
      <c r="V8" s="40" t="s">
        <v>83</v>
      </c>
    </row>
    <row r="9" ht="22.5" customHeight="1">
      <c r="A9" s="15">
        <v>46062.0</v>
      </c>
      <c r="B9" s="17"/>
      <c r="C9" s="17"/>
      <c r="D9" s="17">
        <v>5.0</v>
      </c>
      <c r="E9" s="18"/>
      <c r="F9" s="19" t="s">
        <v>35</v>
      </c>
      <c r="G9" s="20">
        <f>COUNTA(FEBUARY_SHOWS[CALLS SHOWN:])/G3</f>
        <v>0.8148148148</v>
      </c>
      <c r="J9" s="17" t="s">
        <v>84</v>
      </c>
      <c r="K9" s="28">
        <v>46062.0</v>
      </c>
      <c r="L9" s="26"/>
      <c r="M9" s="17" t="s">
        <v>21</v>
      </c>
      <c r="O9" s="24" t="s">
        <v>85</v>
      </c>
      <c r="P9" s="23">
        <v>2500.0</v>
      </c>
      <c r="Q9" s="40" t="s">
        <v>81</v>
      </c>
      <c r="S9" s="42" t="s">
        <v>86</v>
      </c>
      <c r="T9" s="23">
        <v>1500.0</v>
      </c>
      <c r="U9" s="41">
        <v>46062.0</v>
      </c>
      <c r="V9" s="40" t="s">
        <v>87</v>
      </c>
    </row>
    <row r="10" ht="22.5" customHeight="1">
      <c r="A10" s="15">
        <v>46063.0</v>
      </c>
      <c r="B10" s="17"/>
      <c r="C10" s="17"/>
      <c r="D10" s="17">
        <v>1.0</v>
      </c>
      <c r="E10" s="18"/>
      <c r="F10" s="19" t="s">
        <v>37</v>
      </c>
      <c r="G10" s="20">
        <f>COUNTA(FEBUARY_SHOWS[Closed?])/G8</f>
        <v>0.1363636364</v>
      </c>
      <c r="J10" s="17" t="s">
        <v>88</v>
      </c>
      <c r="K10" s="28">
        <v>46062.0</v>
      </c>
      <c r="L10" s="17"/>
      <c r="M10" s="17" t="s">
        <v>39</v>
      </c>
      <c r="S10" s="24" t="s">
        <v>89</v>
      </c>
      <c r="T10" s="23">
        <v>1500.0</v>
      </c>
      <c r="U10" s="41">
        <v>46070.0</v>
      </c>
      <c r="V10" s="40" t="s">
        <v>90</v>
      </c>
    </row>
    <row r="11" ht="22.5" customHeight="1">
      <c r="A11" s="15">
        <v>46064.0</v>
      </c>
      <c r="B11" s="17"/>
      <c r="C11" s="17"/>
      <c r="D11" s="17">
        <v>2.0</v>
      </c>
      <c r="E11" s="18">
        <f>SUM(D9:D13)</f>
        <v>15</v>
      </c>
      <c r="F11" s="19" t="s">
        <v>40</v>
      </c>
      <c r="G11" s="43">
        <f>SUM(FEBUARY_SHOWS[Closed?])</f>
        <v>33500</v>
      </c>
      <c r="J11" s="17" t="s">
        <v>91</v>
      </c>
      <c r="K11" s="28">
        <v>46064.0</v>
      </c>
      <c r="L11" s="17"/>
      <c r="M11" s="17" t="s">
        <v>39</v>
      </c>
    </row>
    <row r="12" ht="22.5" customHeight="1">
      <c r="A12" s="15">
        <v>46065.0</v>
      </c>
      <c r="B12" s="17"/>
      <c r="C12" s="17"/>
      <c r="D12" s="17">
        <v>3.0</v>
      </c>
      <c r="E12" s="18"/>
      <c r="F12" s="19" t="s">
        <v>92</v>
      </c>
      <c r="G12" s="44">
        <v>11500.0</v>
      </c>
      <c r="J12" s="24" t="s">
        <v>93</v>
      </c>
      <c r="K12" s="22">
        <v>46064.0</v>
      </c>
      <c r="L12" s="23">
        <v>9500.0</v>
      </c>
      <c r="M12" s="24" t="s">
        <v>30</v>
      </c>
    </row>
    <row r="13" ht="22.5" customHeight="1">
      <c r="A13" s="15">
        <v>46066.0</v>
      </c>
      <c r="B13" s="17"/>
      <c r="C13" s="17"/>
      <c r="D13" s="17">
        <v>4.0</v>
      </c>
      <c r="E13" s="18"/>
      <c r="F13" s="32" t="s">
        <v>94</v>
      </c>
      <c r="G13" s="45">
        <f>SUM(G11:G12)+SUM(Table7[$])</f>
        <v>64500</v>
      </c>
      <c r="J13" s="17" t="s">
        <v>95</v>
      </c>
      <c r="K13" s="28">
        <v>46065.0</v>
      </c>
      <c r="L13" s="17"/>
      <c r="M13" s="17" t="s">
        <v>30</v>
      </c>
      <c r="V13" s="11" t="s">
        <v>43</v>
      </c>
    </row>
    <row r="14" ht="22.5" customHeight="1">
      <c r="A14" s="15">
        <v>46067.0</v>
      </c>
      <c r="B14" s="17"/>
      <c r="C14" s="17"/>
      <c r="D14" s="17"/>
      <c r="E14" s="18"/>
      <c r="J14" s="17" t="s">
        <v>96</v>
      </c>
      <c r="K14" s="28">
        <v>46066.0</v>
      </c>
      <c r="L14" s="17"/>
      <c r="M14" s="17" t="s">
        <v>30</v>
      </c>
      <c r="V14" s="29">
        <f>SUM(T6:T7)*0.2</f>
        <v>1100</v>
      </c>
    </row>
    <row r="15" ht="22.5" customHeight="1">
      <c r="A15" s="15">
        <v>46068.0</v>
      </c>
      <c r="B15" s="17"/>
      <c r="C15" s="17"/>
      <c r="D15" s="17"/>
      <c r="E15" s="18"/>
      <c r="J15" s="17" t="s">
        <v>97</v>
      </c>
      <c r="K15" s="28">
        <v>46066.0</v>
      </c>
      <c r="L15" s="17"/>
      <c r="M15" s="17" t="s">
        <v>30</v>
      </c>
    </row>
    <row r="16" ht="22.5" customHeight="1">
      <c r="A16" s="15">
        <v>46069.0</v>
      </c>
      <c r="B16" s="17"/>
      <c r="C16" s="17"/>
      <c r="D16" s="17">
        <v>4.0</v>
      </c>
      <c r="E16" s="18"/>
      <c r="F16" s="6" t="s">
        <v>50</v>
      </c>
      <c r="G16" s="7">
        <f>G8/40*100</f>
        <v>55</v>
      </c>
      <c r="H16" s="20">
        <f>G8*61.5</f>
        <v>1353</v>
      </c>
      <c r="J16" s="17" t="s">
        <v>98</v>
      </c>
      <c r="K16" s="28">
        <v>46066.0</v>
      </c>
      <c r="L16" s="17"/>
      <c r="M16" s="17" t="s">
        <v>21</v>
      </c>
    </row>
    <row r="17" ht="22.5" customHeight="1">
      <c r="A17" s="15">
        <v>46070.0</v>
      </c>
      <c r="B17" s="17"/>
      <c r="C17" s="17"/>
      <c r="D17" s="17">
        <v>2.0</v>
      </c>
      <c r="E17" s="18"/>
      <c r="F17" s="6" t="s">
        <v>52</v>
      </c>
      <c r="G17" s="7">
        <f>DAY(TODAY()) / DAY(EOMONTH(TODAY(), 6))*100</f>
        <v>70.96774194</v>
      </c>
      <c r="H17" s="29">
        <f>1666+((H16+I14)*0.71)+(V14)</f>
        <v>3726.63</v>
      </c>
      <c r="J17" s="17" t="s">
        <v>99</v>
      </c>
      <c r="K17" s="28">
        <v>46069.0</v>
      </c>
      <c r="L17" s="17"/>
      <c r="M17" s="17" t="s">
        <v>100</v>
      </c>
    </row>
    <row r="18" ht="22.5" customHeight="1">
      <c r="A18" s="15">
        <v>46071.0</v>
      </c>
      <c r="B18" s="17"/>
      <c r="C18" s="17"/>
      <c r="D18" s="17">
        <v>2.0</v>
      </c>
      <c r="E18" s="18"/>
      <c r="J18" s="17" t="s">
        <v>101</v>
      </c>
      <c r="K18" s="28">
        <v>46069.0</v>
      </c>
      <c r="L18" s="17"/>
      <c r="M18" s="17" t="s">
        <v>30</v>
      </c>
    </row>
    <row r="19" ht="22.5" customHeight="1">
      <c r="A19" s="15">
        <v>46072.0</v>
      </c>
      <c r="B19" s="17"/>
      <c r="C19" s="17"/>
      <c r="D19" s="17">
        <v>1.0</v>
      </c>
      <c r="E19" s="18"/>
      <c r="J19" s="17" t="s">
        <v>102</v>
      </c>
      <c r="K19" s="28">
        <v>46070.0</v>
      </c>
      <c r="L19" s="17"/>
      <c r="M19" s="17" t="s">
        <v>30</v>
      </c>
    </row>
    <row r="20" ht="22.5" customHeight="1">
      <c r="A20" s="15">
        <v>46073.0</v>
      </c>
      <c r="B20" s="17"/>
      <c r="C20" s="17"/>
      <c r="D20" s="17"/>
      <c r="E20" s="18"/>
      <c r="J20" s="17" t="s">
        <v>103</v>
      </c>
      <c r="K20" s="28">
        <v>46070.0</v>
      </c>
      <c r="L20" s="17"/>
      <c r="M20" s="17" t="s">
        <v>30</v>
      </c>
    </row>
    <row r="21" ht="22.5" customHeight="1">
      <c r="A21" s="15">
        <v>46074.0</v>
      </c>
      <c r="B21" s="17"/>
      <c r="C21" s="17"/>
      <c r="D21" s="17"/>
      <c r="E21" s="18"/>
      <c r="J21" s="17" t="s">
        <v>104</v>
      </c>
      <c r="K21" s="28">
        <v>46071.0</v>
      </c>
      <c r="L21" s="17"/>
      <c r="M21" s="17" t="s">
        <v>39</v>
      </c>
    </row>
    <row r="22" ht="22.5" customHeight="1">
      <c r="A22" s="15">
        <v>46075.0</v>
      </c>
      <c r="B22" s="17"/>
      <c r="C22" s="17"/>
      <c r="D22" s="17"/>
      <c r="E22" s="18"/>
      <c r="F22" s="11" t="s">
        <v>105</v>
      </c>
      <c r="J22" s="17" t="s">
        <v>106</v>
      </c>
      <c r="K22" s="28">
        <v>46072.0</v>
      </c>
      <c r="L22" s="17"/>
      <c r="M22" s="17" t="s">
        <v>30</v>
      </c>
    </row>
    <row r="23" ht="22.5" customHeight="1">
      <c r="F23" s="11" t="s">
        <v>107</v>
      </c>
      <c r="J23" s="17" t="s">
        <v>108</v>
      </c>
      <c r="K23" s="28">
        <v>46073.0</v>
      </c>
      <c r="L23" s="17"/>
      <c r="M23" s="17" t="s">
        <v>109</v>
      </c>
    </row>
    <row r="24">
      <c r="F24" s="11" t="s">
        <v>110</v>
      </c>
    </row>
    <row r="27">
      <c r="A27" s="11" t="s">
        <v>111</v>
      </c>
      <c r="C27" s="11" t="s">
        <v>112</v>
      </c>
    </row>
    <row r="28">
      <c r="A28" s="11" t="s">
        <v>113</v>
      </c>
      <c r="C28" s="11" t="s">
        <v>114</v>
      </c>
      <c r="F28" s="11"/>
    </row>
    <row r="29">
      <c r="A29" s="11" t="s">
        <v>115</v>
      </c>
      <c r="C29" s="11" t="s">
        <v>113</v>
      </c>
    </row>
    <row r="30">
      <c r="A30" s="11" t="s">
        <v>84</v>
      </c>
      <c r="C30" s="11" t="s">
        <v>115</v>
      </c>
    </row>
    <row r="31">
      <c r="C31" s="11" t="s">
        <v>116</v>
      </c>
    </row>
  </sheetData>
  <dataValidations>
    <dataValidation type="custom" allowBlank="1" showDropDown="1" sqref="U6:U10 A2:A22 K2:K23">
      <formula1>OR(NOT(ISERROR(DATEVALUE(A2))), AND(ISNUMBER(A2), LEFT(CELL("format", A2))="D"))</formula1>
    </dataValidation>
    <dataValidation type="custom" allowBlank="1" showDropDown="1" sqref="P6:P9 T6:T10 L2:L23">
      <formula1>AND(ISNUMBER(L2),(NOT(OR(NOT(ISERROR(DATEVALUE(L2))), AND(ISNUMBER(L2), LEFT(CELL("format", L2))="D")))))</formula1>
    </dataValidation>
  </dataValidations>
  <hyperlinks>
    <hyperlink r:id="rId1" ref="S6"/>
    <hyperlink r:id="rId2" ref="S7"/>
    <hyperlink r:id="rId3" ref="S8"/>
    <hyperlink r:id="rId4" ref="S9"/>
  </hyperlinks>
  <drawing r:id="rId5"/>
  <tableParts count="4"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75"/>
    <col customWidth="1" min="3" max="3" width="24.13"/>
  </cols>
  <sheetData>
    <row r="1">
      <c r="A1" s="1" t="s">
        <v>2</v>
      </c>
      <c r="B1" s="1" t="s">
        <v>3</v>
      </c>
      <c r="C1" s="1" t="s">
        <v>4</v>
      </c>
    </row>
    <row r="2">
      <c r="A2" s="3">
        <f>SUM(Jan[Demos Booked:])+SUM(Table2[Demos Booked:])</f>
        <v>111</v>
      </c>
      <c r="B2" s="3">
        <f>COUNTA(Jan_Shows[CALLS SHOWN:])+COUNTA(Table3[CALLS SHOWN:0])</f>
        <v>79</v>
      </c>
      <c r="C2" s="2">
        <f>SUM(Jan_Shows[Closed?])+SUM(Table3[Closed?])+SUM(PM[Close?])+SUM(GAW[Close?])+SUM(Table4[Close $])</f>
        <v>185250</v>
      </c>
      <c r="E2" s="1" t="s">
        <v>5</v>
      </c>
      <c r="F2" s="29">
        <f>C2/150000</f>
        <v>1.235</v>
      </c>
    </row>
    <row r="3">
      <c r="E3" s="6" t="s">
        <v>6</v>
      </c>
      <c r="F3" s="7">
        <f>DAY(TODAY()) / DAY(EOMONTH(TODAY(), 6))*100</f>
        <v>70.96774194</v>
      </c>
    </row>
    <row r="6">
      <c r="A6" s="8"/>
    </row>
    <row r="8">
      <c r="A8" s="9"/>
      <c r="B8" s="9"/>
      <c r="C8" s="9"/>
      <c r="D8" s="9"/>
    </row>
    <row r="9">
      <c r="A9" s="10"/>
      <c r="B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7.38"/>
    <col customWidth="1" min="4" max="4" width="17.13"/>
    <col customWidth="1" min="5" max="5" width="24.88"/>
    <col customWidth="1" min="6" max="6" width="20.75"/>
    <col customWidth="1" min="7" max="7" width="18.25"/>
    <col customWidth="1" min="8" max="8" width="19.38"/>
    <col customWidth="1" min="9" max="9" width="14.63"/>
    <col customWidth="1" min="12" max="12" width="26.63"/>
  </cols>
  <sheetData>
    <row r="1" ht="22.5" customHeight="1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</row>
    <row r="2" ht="22.5" customHeight="1">
      <c r="A2" s="15">
        <v>46027.0</v>
      </c>
      <c r="B2" s="16">
        <v>12.0</v>
      </c>
      <c r="C2" s="17">
        <v>4.0</v>
      </c>
      <c r="D2" s="17">
        <v>4.0</v>
      </c>
      <c r="E2" s="18"/>
      <c r="F2" s="19" t="s">
        <v>14</v>
      </c>
      <c r="G2" s="11">
        <v>1027.0</v>
      </c>
    </row>
    <row r="3" ht="22.5" customHeight="1">
      <c r="A3" s="15">
        <v>46028.0</v>
      </c>
      <c r="B3" s="17">
        <v>53.0</v>
      </c>
      <c r="C3" s="17">
        <v>12.0</v>
      </c>
      <c r="D3" s="17">
        <v>6.0</v>
      </c>
      <c r="E3" s="17" t="s">
        <v>18</v>
      </c>
      <c r="F3" s="19" t="s">
        <v>19</v>
      </c>
      <c r="G3" s="20">
        <f>SUM(Jan[Calls Answered:])</f>
        <v>154</v>
      </c>
      <c r="I3" s="13" t="s">
        <v>15</v>
      </c>
      <c r="J3" s="13" t="s">
        <v>9</v>
      </c>
      <c r="K3" s="13" t="s">
        <v>16</v>
      </c>
      <c r="L3" s="14" t="s">
        <v>13</v>
      </c>
      <c r="M3" s="46" t="s">
        <v>117</v>
      </c>
      <c r="N3" s="46" t="s">
        <v>9</v>
      </c>
      <c r="O3" s="19"/>
    </row>
    <row r="4" ht="22.5" customHeight="1">
      <c r="A4" s="15">
        <v>46029.0</v>
      </c>
      <c r="B4" s="17">
        <v>51.0</v>
      </c>
      <c r="C4" s="17">
        <v>9.0</v>
      </c>
      <c r="D4" s="17">
        <v>5.0</v>
      </c>
      <c r="E4" s="18">
        <f>SUM(D2:D6)</f>
        <v>18</v>
      </c>
      <c r="F4" s="19" t="s">
        <v>22</v>
      </c>
      <c r="G4" s="20">
        <f>SUM(Jan[Demos Booked:])</f>
        <v>60</v>
      </c>
      <c r="I4" s="24" t="s">
        <v>118</v>
      </c>
      <c r="J4" s="22">
        <v>46028.0</v>
      </c>
      <c r="K4" s="23">
        <v>9600.0</v>
      </c>
      <c r="L4" s="47"/>
      <c r="M4" s="16" t="s">
        <v>119</v>
      </c>
      <c r="N4" s="48">
        <v>46031.0</v>
      </c>
    </row>
    <row r="5" ht="22.5" customHeight="1">
      <c r="A5" s="49">
        <v>46030.0</v>
      </c>
      <c r="B5" s="17">
        <v>55.0</v>
      </c>
      <c r="C5" s="17">
        <v>9.0</v>
      </c>
      <c r="D5" s="17">
        <v>2.0</v>
      </c>
      <c r="E5" s="18"/>
      <c r="F5" s="19" t="s">
        <v>24</v>
      </c>
      <c r="G5" s="5">
        <f>G2/COUNTA(B2:B21)</f>
        <v>51.35</v>
      </c>
      <c r="I5" s="17" t="s">
        <v>120</v>
      </c>
      <c r="J5" s="28">
        <v>46029.0</v>
      </c>
      <c r="K5" s="26"/>
      <c r="L5" s="39"/>
      <c r="M5" s="16" t="s">
        <v>121</v>
      </c>
      <c r="N5" s="48">
        <v>46035.0</v>
      </c>
    </row>
    <row r="6" ht="22.5" customHeight="1">
      <c r="A6" s="15">
        <v>46031.0</v>
      </c>
      <c r="B6" s="17">
        <v>47.0</v>
      </c>
      <c r="C6" s="17">
        <v>8.0</v>
      </c>
      <c r="D6" s="17">
        <v>1.0</v>
      </c>
      <c r="E6" s="18"/>
      <c r="F6" s="19" t="s">
        <v>28</v>
      </c>
      <c r="G6" s="5">
        <f>SUM(G4)/COUNTA(D2:D21)</f>
        <v>3</v>
      </c>
      <c r="I6" s="24" t="s">
        <v>122</v>
      </c>
      <c r="J6" s="22">
        <v>46029.0</v>
      </c>
      <c r="K6" s="23">
        <v>2750.0</v>
      </c>
      <c r="L6" s="40" t="s">
        <v>21</v>
      </c>
      <c r="M6" s="16" t="s">
        <v>123</v>
      </c>
      <c r="N6" s="48">
        <v>46035.0</v>
      </c>
    </row>
    <row r="7" ht="22.5" customHeight="1">
      <c r="A7" s="15">
        <v>46034.0</v>
      </c>
      <c r="B7" s="17">
        <v>57.0</v>
      </c>
      <c r="C7" s="17">
        <v>9.0</v>
      </c>
      <c r="D7" s="17">
        <v>1.0</v>
      </c>
      <c r="E7" s="18"/>
      <c r="F7" s="19" t="s">
        <v>70</v>
      </c>
      <c r="G7" s="5">
        <f>SUM(G3)/G2</f>
        <v>0.1499513145</v>
      </c>
      <c r="I7" s="17" t="s">
        <v>124</v>
      </c>
      <c r="J7" s="28">
        <v>46030.0</v>
      </c>
      <c r="K7" s="26"/>
      <c r="L7" s="39"/>
      <c r="M7" s="16"/>
      <c r="N7" s="50"/>
    </row>
    <row r="8" ht="22.5" customHeight="1">
      <c r="A8" s="15">
        <v>46035.0</v>
      </c>
      <c r="B8" s="17">
        <v>73.0</v>
      </c>
      <c r="C8" s="17">
        <v>18.0</v>
      </c>
      <c r="D8" s="17">
        <v>6.0</v>
      </c>
      <c r="E8" s="17" t="s">
        <v>34</v>
      </c>
      <c r="F8" s="19" t="s">
        <v>125</v>
      </c>
      <c r="G8" s="5">
        <f>SUM(G2)/G4</f>
        <v>17.11666667</v>
      </c>
      <c r="I8" s="34" t="s">
        <v>126</v>
      </c>
      <c r="J8" s="28">
        <v>46031.0</v>
      </c>
      <c r="K8" s="26"/>
      <c r="L8" s="39"/>
    </row>
    <row r="9" ht="22.5" customHeight="1">
      <c r="A9" s="15">
        <v>46036.0</v>
      </c>
      <c r="B9" s="17">
        <v>22.0</v>
      </c>
      <c r="C9" s="17">
        <v>8.0</v>
      </c>
      <c r="D9" s="17">
        <v>3.0</v>
      </c>
      <c r="E9" s="18">
        <f>SUM(D7:D11)</f>
        <v>20</v>
      </c>
      <c r="F9" s="19" t="s">
        <v>76</v>
      </c>
      <c r="G9" s="5">
        <f>SUM(D2:D21)/SUM(C2:C21)</f>
        <v>0.3896103896</v>
      </c>
      <c r="I9" s="17" t="s">
        <v>127</v>
      </c>
      <c r="J9" s="28">
        <v>46031.0</v>
      </c>
      <c r="K9" s="26"/>
      <c r="L9" s="39"/>
    </row>
    <row r="10" ht="22.5" customHeight="1">
      <c r="A10" s="15">
        <v>46037.0</v>
      </c>
      <c r="B10" s="17">
        <v>89.0</v>
      </c>
      <c r="C10" s="17">
        <v>13.0</v>
      </c>
      <c r="D10" s="17">
        <v>7.0</v>
      </c>
      <c r="E10" s="18"/>
      <c r="F10" s="19" t="s">
        <v>32</v>
      </c>
      <c r="G10" s="5">
        <f>COUNTA(Jan_Shows[CALLS SHOWN:])</f>
        <v>42</v>
      </c>
      <c r="I10" s="17" t="s">
        <v>128</v>
      </c>
      <c r="J10" s="28">
        <v>46031.0</v>
      </c>
      <c r="K10" s="26"/>
      <c r="L10" s="39"/>
    </row>
    <row r="11" ht="22.5" customHeight="1">
      <c r="A11" s="15">
        <v>46038.0</v>
      </c>
      <c r="B11" s="17">
        <v>36.0</v>
      </c>
      <c r="C11" s="17">
        <v>5.0</v>
      </c>
      <c r="D11" s="17">
        <v>3.0</v>
      </c>
      <c r="E11" s="18"/>
      <c r="F11" s="19" t="s">
        <v>35</v>
      </c>
      <c r="G11" s="5">
        <f>COUNTA(Jan_Shows[CALLS SHOWN:])/G4 *100</f>
        <v>70</v>
      </c>
      <c r="I11" s="17" t="s">
        <v>129</v>
      </c>
      <c r="J11" s="28">
        <v>46031.0</v>
      </c>
      <c r="K11" s="35"/>
      <c r="L11" s="18"/>
    </row>
    <row r="12" ht="22.5" customHeight="1">
      <c r="A12" s="49">
        <v>46041.0</v>
      </c>
      <c r="B12" s="17">
        <v>62.0</v>
      </c>
      <c r="C12" s="17">
        <v>5.0</v>
      </c>
      <c r="D12" s="17">
        <v>1.0</v>
      </c>
      <c r="E12" s="18"/>
      <c r="F12" s="19" t="s">
        <v>37</v>
      </c>
      <c r="G12" s="5">
        <f>COUNTA(Jan_Shows[Closed?])/COUNTA(Jan_Shows[CALLS SHOWN:]) *100</f>
        <v>26.19047619</v>
      </c>
      <c r="I12" s="17" t="s">
        <v>130</v>
      </c>
      <c r="J12" s="28">
        <v>46035.0</v>
      </c>
      <c r="K12" s="26"/>
      <c r="L12" s="39"/>
      <c r="M12" s="46" t="s">
        <v>21</v>
      </c>
      <c r="N12" s="46" t="s">
        <v>131</v>
      </c>
    </row>
    <row r="13" ht="22.5" customHeight="1">
      <c r="A13" s="49">
        <v>46042.0</v>
      </c>
      <c r="B13" s="17">
        <v>118.0</v>
      </c>
      <c r="C13" s="17">
        <v>5.0</v>
      </c>
      <c r="D13" s="17">
        <v>2.0</v>
      </c>
      <c r="E13" s="17" t="s">
        <v>132</v>
      </c>
      <c r="F13" s="19" t="s">
        <v>40</v>
      </c>
      <c r="G13" s="5">
        <f>SUM(Jan_Shows[Closed?])+SUM(GAW[Close?])+SUM(PM[Close?])</f>
        <v>84650</v>
      </c>
      <c r="I13" s="24" t="s">
        <v>133</v>
      </c>
      <c r="J13" s="22">
        <v>46035.0</v>
      </c>
      <c r="K13" s="23">
        <v>2000.0</v>
      </c>
      <c r="L13" s="40" t="s">
        <v>134</v>
      </c>
      <c r="M13" s="24" t="s">
        <v>135</v>
      </c>
      <c r="N13" s="24">
        <v>2500.0</v>
      </c>
    </row>
    <row r="14" ht="22.5" customHeight="1">
      <c r="A14" s="15">
        <v>46043.0</v>
      </c>
      <c r="B14" s="17">
        <v>25.0</v>
      </c>
      <c r="C14" s="17">
        <v>5.0</v>
      </c>
      <c r="D14" s="17">
        <v>4.0</v>
      </c>
      <c r="E14" s="18">
        <f>SUM(D12:D16)</f>
        <v>16</v>
      </c>
      <c r="F14" s="19" t="s">
        <v>42</v>
      </c>
      <c r="G14" s="51">
        <f>SUM(Rev[$])</f>
        <v>4697</v>
      </c>
      <c r="I14" s="17" t="s">
        <v>136</v>
      </c>
      <c r="J14" s="28">
        <v>46035.0</v>
      </c>
      <c r="K14" s="52"/>
      <c r="L14" s="18"/>
      <c r="M14" s="16"/>
      <c r="N14" s="16"/>
    </row>
    <row r="15" ht="22.5" customHeight="1">
      <c r="A15" s="15">
        <v>46044.0</v>
      </c>
      <c r="B15" s="17">
        <v>54.0</v>
      </c>
      <c r="C15" s="17">
        <v>11.0</v>
      </c>
      <c r="D15" s="17">
        <v>7.0</v>
      </c>
      <c r="E15" s="18"/>
      <c r="F15" s="32" t="s">
        <v>46</v>
      </c>
      <c r="G15" s="53">
        <f>SUM(G13:G14)</f>
        <v>89347</v>
      </c>
      <c r="I15" s="24" t="s">
        <v>137</v>
      </c>
      <c r="J15" s="22">
        <v>46036.0</v>
      </c>
      <c r="K15" s="23">
        <v>9600.0</v>
      </c>
      <c r="L15" s="47"/>
    </row>
    <row r="16" ht="22.5" customHeight="1">
      <c r="A16" s="15">
        <v>46045.0</v>
      </c>
      <c r="B16" s="17">
        <v>46.0</v>
      </c>
      <c r="C16" s="17">
        <v>5.0</v>
      </c>
      <c r="D16" s="17">
        <v>2.0</v>
      </c>
      <c r="E16" s="18"/>
      <c r="I16" s="17" t="s">
        <v>138</v>
      </c>
      <c r="J16" s="28">
        <v>46037.0</v>
      </c>
      <c r="K16" s="35"/>
      <c r="L16" s="18"/>
    </row>
    <row r="17" ht="22.5" customHeight="1">
      <c r="A17" s="15">
        <v>46048.0</v>
      </c>
      <c r="B17" s="17">
        <v>53.0</v>
      </c>
      <c r="C17" s="17">
        <v>4.0</v>
      </c>
      <c r="D17" s="17">
        <v>2.0</v>
      </c>
      <c r="E17" s="18"/>
      <c r="I17" s="34" t="s">
        <v>139</v>
      </c>
      <c r="J17" s="28">
        <v>46037.0</v>
      </c>
      <c r="K17" s="35"/>
      <c r="L17" s="18"/>
    </row>
    <row r="18" ht="22.5" customHeight="1">
      <c r="A18" s="49">
        <v>46049.0</v>
      </c>
      <c r="B18" s="17">
        <v>50.0</v>
      </c>
      <c r="C18" s="17">
        <v>11.0</v>
      </c>
      <c r="D18" s="17">
        <v>2.0</v>
      </c>
      <c r="E18" s="17" t="s">
        <v>140</v>
      </c>
      <c r="I18" s="17" t="s">
        <v>141</v>
      </c>
      <c r="J18" s="28">
        <v>46037.0</v>
      </c>
      <c r="K18" s="35"/>
      <c r="L18" s="18"/>
      <c r="M18" s="46" t="s">
        <v>142</v>
      </c>
      <c r="N18" s="46" t="s">
        <v>131</v>
      </c>
    </row>
    <row r="19" ht="22.5" customHeight="1">
      <c r="A19" s="49">
        <v>46050.0</v>
      </c>
      <c r="B19" s="17">
        <v>56.0</v>
      </c>
      <c r="C19" s="17">
        <v>7.0</v>
      </c>
      <c r="D19" s="17">
        <v>1.0</v>
      </c>
      <c r="E19" s="18">
        <f>SUM(D17:D19)</f>
        <v>5</v>
      </c>
      <c r="I19" s="17" t="s">
        <v>143</v>
      </c>
      <c r="J19" s="28">
        <v>46037.0</v>
      </c>
      <c r="K19" s="35"/>
      <c r="L19" s="18"/>
      <c r="M19" s="24" t="s">
        <v>144</v>
      </c>
      <c r="N19" s="54">
        <v>9600.0</v>
      </c>
    </row>
    <row r="20" ht="22.5" customHeight="1">
      <c r="A20" s="15">
        <v>46051.0</v>
      </c>
      <c r="B20" s="17">
        <v>35.0</v>
      </c>
      <c r="C20" s="17">
        <v>3.0</v>
      </c>
      <c r="D20" s="17">
        <v>1.0</v>
      </c>
      <c r="E20" s="18"/>
      <c r="I20" s="16" t="s">
        <v>145</v>
      </c>
      <c r="J20" s="28">
        <v>46038.0</v>
      </c>
      <c r="K20" s="35"/>
      <c r="L20" s="18"/>
    </row>
    <row r="21" ht="22.5" customHeight="1">
      <c r="A21" s="15">
        <v>46052.0</v>
      </c>
      <c r="B21" s="17">
        <v>40.0</v>
      </c>
      <c r="C21" s="17">
        <v>3.0</v>
      </c>
      <c r="D21" s="17">
        <v>0.0</v>
      </c>
      <c r="E21" s="18"/>
      <c r="I21" s="17" t="s">
        <v>146</v>
      </c>
      <c r="J21" s="28">
        <v>46041.0</v>
      </c>
      <c r="K21" s="35"/>
      <c r="L21" s="18"/>
    </row>
    <row r="22" ht="22.5" customHeight="1">
      <c r="F22" s="6" t="s">
        <v>50</v>
      </c>
      <c r="G22" s="7">
        <f>G10/60*100</f>
        <v>70</v>
      </c>
      <c r="I22" s="21" t="s">
        <v>147</v>
      </c>
      <c r="J22" s="22">
        <v>46041.0</v>
      </c>
      <c r="K22" s="23">
        <v>9500.0</v>
      </c>
      <c r="L22" s="47"/>
    </row>
    <row r="23" ht="22.5" customHeight="1">
      <c r="A23" s="19"/>
      <c r="F23" s="6" t="s">
        <v>52</v>
      </c>
      <c r="G23" s="7">
        <f>DAY(TODAY()) / DAY(EOMONTH(TODAY(), 6))*100</f>
        <v>70.96774194</v>
      </c>
      <c r="I23" s="17" t="s">
        <v>148</v>
      </c>
      <c r="J23" s="28">
        <v>46041.0</v>
      </c>
      <c r="K23" s="35"/>
      <c r="L23" s="18"/>
    </row>
    <row r="24" ht="22.5" customHeight="1">
      <c r="I24" s="16" t="s">
        <v>149</v>
      </c>
      <c r="J24" s="25">
        <v>46042.0</v>
      </c>
      <c r="K24" s="35"/>
      <c r="L24" s="18"/>
    </row>
    <row r="25" ht="22.5" customHeight="1">
      <c r="I25" s="17" t="s">
        <v>150</v>
      </c>
      <c r="J25" s="28">
        <v>46042.0</v>
      </c>
      <c r="K25" s="35"/>
      <c r="L25" s="18"/>
    </row>
    <row r="26" ht="22.5" customHeight="1">
      <c r="I26" s="17" t="s">
        <v>151</v>
      </c>
      <c r="J26" s="28">
        <v>46043.0</v>
      </c>
      <c r="K26" s="35"/>
      <c r="L26" s="18"/>
    </row>
    <row r="27" ht="22.5" customHeight="1">
      <c r="F27" s="46" t="s">
        <v>152</v>
      </c>
      <c r="G27" s="46" t="s">
        <v>27</v>
      </c>
      <c r="I27" s="17" t="s">
        <v>153</v>
      </c>
      <c r="J27" s="28">
        <v>46043.0</v>
      </c>
      <c r="K27" s="35">
        <v>1500.0</v>
      </c>
      <c r="L27" s="18"/>
    </row>
    <row r="28" ht="22.5" customHeight="1">
      <c r="F28" s="24" t="s">
        <v>154</v>
      </c>
      <c r="G28" s="54">
        <v>4500.0</v>
      </c>
      <c r="I28" s="34" t="s">
        <v>155</v>
      </c>
      <c r="J28" s="28">
        <v>46043.0</v>
      </c>
      <c r="K28" s="35"/>
      <c r="L28" s="18"/>
    </row>
    <row r="29" ht="22.5" customHeight="1">
      <c r="F29" s="24" t="s">
        <v>156</v>
      </c>
      <c r="G29" s="54">
        <v>197.0</v>
      </c>
      <c r="I29" s="17" t="s">
        <v>157</v>
      </c>
      <c r="J29" s="28">
        <v>46045.0</v>
      </c>
      <c r="K29" s="35"/>
      <c r="L29" s="18"/>
    </row>
    <row r="30" ht="22.5" customHeight="1">
      <c r="F30" s="40"/>
      <c r="G30" s="55"/>
      <c r="I30" s="24" t="s">
        <v>158</v>
      </c>
      <c r="J30" s="22">
        <v>46045.0</v>
      </c>
      <c r="K30" s="23">
        <v>2000.0</v>
      </c>
      <c r="L30" s="40" t="s">
        <v>134</v>
      </c>
    </row>
    <row r="31" ht="22.5" customHeight="1">
      <c r="I31" s="34" t="s">
        <v>159</v>
      </c>
      <c r="J31" s="28">
        <v>46045.0</v>
      </c>
      <c r="K31" s="35"/>
      <c r="L31" s="18"/>
    </row>
    <row r="32" ht="22.5" customHeight="1">
      <c r="F32" s="19" t="s">
        <v>160</v>
      </c>
      <c r="G32" s="36">
        <f>SUM(Calls_Shown_Dec[Close?])+G15</f>
        <v>146847</v>
      </c>
      <c r="I32" s="17" t="s">
        <v>161</v>
      </c>
      <c r="J32" s="28">
        <v>46046.0</v>
      </c>
      <c r="K32" s="35"/>
      <c r="L32" s="18"/>
    </row>
    <row r="33" ht="22.5" customHeight="1">
      <c r="I33" s="34" t="s">
        <v>162</v>
      </c>
      <c r="J33" s="28">
        <v>46048.0</v>
      </c>
      <c r="K33" s="35"/>
      <c r="L33" s="18"/>
    </row>
    <row r="34" ht="22.5" customHeight="1">
      <c r="I34" s="24" t="s">
        <v>163</v>
      </c>
      <c r="J34" s="22">
        <v>46048.0</v>
      </c>
      <c r="K34" s="23">
        <v>9500.0</v>
      </c>
      <c r="L34" s="47"/>
    </row>
    <row r="35" ht="22.5" customHeight="1">
      <c r="I35" s="40" t="s">
        <v>164</v>
      </c>
      <c r="J35" s="56">
        <v>46048.0</v>
      </c>
      <c r="K35" s="57"/>
      <c r="L35" s="47"/>
    </row>
    <row r="36" ht="22.5" customHeight="1">
      <c r="I36" s="58" t="s">
        <v>165</v>
      </c>
      <c r="J36" s="56">
        <v>46048.0</v>
      </c>
      <c r="K36" s="57"/>
      <c r="L36" s="47"/>
    </row>
    <row r="37" ht="22.5" customHeight="1">
      <c r="I37" s="24" t="s">
        <v>166</v>
      </c>
      <c r="J37" s="22">
        <v>46049.0</v>
      </c>
      <c r="K37" s="23">
        <v>9600.0</v>
      </c>
      <c r="L37" s="47"/>
    </row>
    <row r="38" ht="22.5" customHeight="1">
      <c r="I38" s="58" t="s">
        <v>167</v>
      </c>
      <c r="J38" s="56">
        <v>46049.0</v>
      </c>
      <c r="K38" s="57"/>
      <c r="L38" s="47"/>
    </row>
    <row r="39" ht="22.5" customHeight="1">
      <c r="I39" s="58" t="s">
        <v>168</v>
      </c>
      <c r="J39" s="56">
        <v>46049.0</v>
      </c>
      <c r="K39" s="57"/>
      <c r="L39" s="47"/>
    </row>
    <row r="40" ht="22.5" customHeight="1">
      <c r="I40" s="40" t="s">
        <v>169</v>
      </c>
      <c r="J40" s="56">
        <v>46049.0</v>
      </c>
      <c r="K40" s="57"/>
      <c r="L40" s="47"/>
    </row>
    <row r="41" ht="22.5" customHeight="1">
      <c r="I41" s="24" t="s">
        <v>170</v>
      </c>
      <c r="J41" s="22">
        <v>46050.0</v>
      </c>
      <c r="K41" s="23">
        <v>4500.0</v>
      </c>
      <c r="L41" s="40" t="s">
        <v>171</v>
      </c>
    </row>
    <row r="42" ht="22.5" customHeight="1">
      <c r="I42" s="24" t="s">
        <v>172</v>
      </c>
      <c r="J42" s="22">
        <v>46051.0</v>
      </c>
      <c r="K42" s="23">
        <v>12000.0</v>
      </c>
      <c r="L42" s="47"/>
    </row>
    <row r="43" ht="22.5" customHeight="1">
      <c r="I43" s="40" t="s">
        <v>173</v>
      </c>
      <c r="J43" s="56">
        <v>46051.0</v>
      </c>
      <c r="K43" s="57"/>
      <c r="L43" s="47"/>
    </row>
    <row r="44" ht="22.5" customHeight="1">
      <c r="I44" s="58" t="s">
        <v>174</v>
      </c>
      <c r="J44" s="56">
        <v>46051.0</v>
      </c>
      <c r="K44" s="57"/>
      <c r="L44" s="47"/>
    </row>
    <row r="45" ht="22.5" customHeight="1">
      <c r="I45" s="58" t="s">
        <v>175</v>
      </c>
      <c r="J45" s="56">
        <v>46051.0</v>
      </c>
      <c r="K45" s="57"/>
      <c r="L45" s="47"/>
    </row>
    <row r="48" ht="22.5" customHeight="1">
      <c r="F48" s="46" t="s">
        <v>176</v>
      </c>
      <c r="G48" s="46" t="s">
        <v>177</v>
      </c>
    </row>
    <row r="49" ht="22.5" customHeight="1">
      <c r="F49" s="16" t="s">
        <v>178</v>
      </c>
      <c r="G49" s="59">
        <v>12000.0</v>
      </c>
    </row>
    <row r="86">
      <c r="E86" s="20">
        <f>COUNTA(Jan_Shows[CALLS SHOWN:])*41.66</f>
        <v>1749.72</v>
      </c>
      <c r="F86" s="11">
        <f>SUM(1666+(E86*0.71))</f>
        <v>2908.3012</v>
      </c>
    </row>
  </sheetData>
  <dataValidations>
    <dataValidation type="custom" allowBlank="1" showDropDown="1" sqref="N4:N7 A2:A21 J4:J45">
      <formula1>OR(NOT(ISERROR(DATEVALUE(A2))), AND(ISNUMBER(A2), LEFT(CELL("format", A2))="D"))</formula1>
    </dataValidation>
    <dataValidation type="custom" allowBlank="1" showDropDown="1" sqref="N19 G28:G30 K4:K45">
      <formula1>AND(ISNUMBER(G4),(NOT(OR(NOT(ISERROR(DATEVALUE(G4))), AND(ISNUMBER(G4), LEFT(CELL("format", G4))="D")))))</formula1>
    </dataValidation>
  </dataValidations>
  <hyperlinks>
    <hyperlink r:id="rId1" ref="I8"/>
    <hyperlink r:id="rId2" ref="I17"/>
    <hyperlink r:id="rId3" ref="I22"/>
    <hyperlink r:id="rId4" ref="I28"/>
    <hyperlink r:id="rId5" ref="I31"/>
    <hyperlink r:id="rId6" ref="I33"/>
    <hyperlink r:id="rId7" ref="I36"/>
    <hyperlink r:id="rId8" ref="I38"/>
    <hyperlink r:id="rId9" ref="I39"/>
    <hyperlink r:id="rId10" ref="I44"/>
    <hyperlink r:id="rId11" ref="I45"/>
  </hyperlinks>
  <drawing r:id="rId12"/>
  <tableParts count="7"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6" max="6" width="26.13"/>
    <col customWidth="1" min="9" max="9" width="15.25"/>
    <col customWidth="1" min="14" max="14" width="14.63"/>
  </cols>
  <sheetData>
    <row r="1" ht="22.5" customHeight="1">
      <c r="A1" s="60" t="s">
        <v>179</v>
      </c>
      <c r="B1" s="60" t="s">
        <v>10</v>
      </c>
      <c r="C1" s="60" t="s">
        <v>11</v>
      </c>
      <c r="D1" s="60" t="s">
        <v>12</v>
      </c>
      <c r="E1" s="61" t="s">
        <v>13</v>
      </c>
      <c r="F1" s="62"/>
      <c r="G1" s="62"/>
      <c r="H1" s="62"/>
      <c r="I1" s="62"/>
      <c r="J1" s="62"/>
      <c r="K1" s="62"/>
    </row>
    <row r="2" ht="22.5" customHeight="1">
      <c r="A2" s="63">
        <v>46027.0</v>
      </c>
      <c r="B2" s="64">
        <v>2.0</v>
      </c>
      <c r="C2" s="65"/>
      <c r="D2" s="66">
        <v>0.0</v>
      </c>
      <c r="E2" s="67">
        <f>SUM(D2:D6)</f>
        <v>12</v>
      </c>
      <c r="F2" s="68" t="s">
        <v>180</v>
      </c>
      <c r="G2" s="69">
        <f>SUM(Table2[Calls Made:])</f>
        <v>612</v>
      </c>
      <c r="H2" s="62"/>
      <c r="I2" s="62"/>
      <c r="J2" s="62"/>
      <c r="K2" s="62"/>
    </row>
    <row r="3" ht="22.5" customHeight="1">
      <c r="A3" s="70">
        <v>46028.0</v>
      </c>
      <c r="B3" s="71">
        <v>36.0</v>
      </c>
      <c r="C3" s="72"/>
      <c r="D3" s="73">
        <v>4.0</v>
      </c>
      <c r="E3" s="74"/>
      <c r="F3" s="68" t="s">
        <v>19</v>
      </c>
      <c r="G3" s="69">
        <f>SUM(Table2[Calls Answered:])</f>
        <v>0</v>
      </c>
      <c r="H3" s="62"/>
      <c r="I3" s="60" t="s">
        <v>181</v>
      </c>
      <c r="J3" s="60" t="s">
        <v>9</v>
      </c>
      <c r="K3" s="60" t="s">
        <v>16</v>
      </c>
      <c r="L3" s="61" t="s">
        <v>13</v>
      </c>
    </row>
    <row r="4" ht="22.5" customHeight="1">
      <c r="A4" s="63">
        <v>46029.0</v>
      </c>
      <c r="B4" s="64">
        <v>64.0</v>
      </c>
      <c r="C4" s="65"/>
      <c r="D4" s="75">
        <v>6.0</v>
      </c>
      <c r="E4" s="76"/>
      <c r="F4" s="68" t="s">
        <v>22</v>
      </c>
      <c r="G4" s="69">
        <f>SUM(Table2[Demos Booked:])</f>
        <v>51</v>
      </c>
      <c r="H4" s="62"/>
      <c r="I4" s="77" t="s">
        <v>182</v>
      </c>
      <c r="J4" s="78">
        <v>46024.0</v>
      </c>
      <c r="K4" s="79"/>
      <c r="L4" s="80"/>
    </row>
    <row r="5" ht="22.5" customHeight="1">
      <c r="A5" s="70">
        <v>46030.0</v>
      </c>
      <c r="B5" s="71">
        <v>21.0</v>
      </c>
      <c r="C5" s="72"/>
      <c r="D5" s="73">
        <v>1.0</v>
      </c>
      <c r="E5" s="74"/>
      <c r="F5" s="68" t="s">
        <v>24</v>
      </c>
      <c r="G5" s="69">
        <f>SUM(Table2[Calls Made:])/COUNTA(Table2[Calls Made:])</f>
        <v>38.25</v>
      </c>
      <c r="H5" s="62"/>
      <c r="I5" s="81"/>
      <c r="J5" s="82"/>
      <c r="K5" s="83"/>
      <c r="L5" s="84"/>
    </row>
    <row r="6" ht="22.5" customHeight="1">
      <c r="A6" s="63">
        <v>46031.0</v>
      </c>
      <c r="B6" s="64">
        <v>10.0</v>
      </c>
      <c r="C6" s="65"/>
      <c r="D6" s="75">
        <v>1.0</v>
      </c>
      <c r="E6" s="76"/>
      <c r="F6" s="68" t="s">
        <v>28</v>
      </c>
      <c r="G6" s="69">
        <f>SUM(G4)/COUNTA(Table2[Demos Booked:])</f>
        <v>3.1875</v>
      </c>
      <c r="H6" s="62"/>
      <c r="I6" s="85" t="s">
        <v>183</v>
      </c>
      <c r="J6" s="86">
        <v>46029.0</v>
      </c>
      <c r="K6" s="87"/>
      <c r="L6" s="84"/>
    </row>
    <row r="7" ht="22.5" customHeight="1">
      <c r="A7" s="70">
        <v>46034.0</v>
      </c>
      <c r="B7" s="88">
        <v>4.0</v>
      </c>
      <c r="C7" s="72"/>
      <c r="D7" s="89">
        <v>0.0</v>
      </c>
      <c r="E7" s="90"/>
      <c r="F7" s="68" t="s">
        <v>70</v>
      </c>
      <c r="G7" s="69">
        <f>SUM(G3)/G2</f>
        <v>0</v>
      </c>
      <c r="H7" s="62"/>
      <c r="I7" s="91" t="s">
        <v>184</v>
      </c>
      <c r="J7" s="92">
        <v>46030.0</v>
      </c>
      <c r="K7" s="93">
        <v>9500.0</v>
      </c>
      <c r="L7" s="94"/>
    </row>
    <row r="8" ht="22.5" customHeight="1">
      <c r="A8" s="63">
        <v>46035.0</v>
      </c>
      <c r="B8" s="95">
        <v>62.0</v>
      </c>
      <c r="C8" s="65"/>
      <c r="D8" s="66">
        <v>5.0</v>
      </c>
      <c r="E8" s="67"/>
      <c r="F8" s="68" t="s">
        <v>185</v>
      </c>
      <c r="G8" s="69">
        <f>SUM(G3)/G4</f>
        <v>0</v>
      </c>
      <c r="H8" s="62"/>
      <c r="I8" s="96" t="s">
        <v>186</v>
      </c>
      <c r="J8" s="97">
        <v>46031.0</v>
      </c>
      <c r="K8" s="98"/>
      <c r="L8" s="84"/>
    </row>
    <row r="9" ht="22.5" customHeight="1">
      <c r="A9" s="70">
        <v>46036.0</v>
      </c>
      <c r="B9" s="88">
        <v>13.0</v>
      </c>
      <c r="C9" s="72"/>
      <c r="D9" s="89">
        <v>3.0</v>
      </c>
      <c r="E9" s="90">
        <f>SUM(D7:D11)</f>
        <v>17</v>
      </c>
      <c r="F9" s="68" t="s">
        <v>125</v>
      </c>
      <c r="G9" s="69">
        <f>SUM(G2)/G4</f>
        <v>12</v>
      </c>
      <c r="H9" s="62"/>
      <c r="I9" s="99" t="s">
        <v>187</v>
      </c>
      <c r="J9" s="100">
        <v>46034.0</v>
      </c>
      <c r="K9" s="101"/>
      <c r="L9" s="80"/>
    </row>
    <row r="10" ht="22.5" customHeight="1">
      <c r="A10" s="63">
        <v>46037.0</v>
      </c>
      <c r="B10" s="95">
        <v>14.0</v>
      </c>
      <c r="C10" s="65"/>
      <c r="D10" s="66">
        <v>6.0</v>
      </c>
      <c r="E10" s="67"/>
      <c r="F10" s="68" t="s">
        <v>32</v>
      </c>
      <c r="G10" s="69">
        <f>COUNTA(Table3[CALLS SHOWN:0])</f>
        <v>37</v>
      </c>
      <c r="H10" s="62"/>
      <c r="I10" s="102"/>
      <c r="J10" s="103"/>
      <c r="K10" s="79"/>
      <c r="L10" s="80"/>
    </row>
    <row r="11" ht="22.5" customHeight="1">
      <c r="A11" s="70">
        <v>46038.0</v>
      </c>
      <c r="B11" s="88">
        <v>52.0</v>
      </c>
      <c r="C11" s="72"/>
      <c r="D11" s="89">
        <v>3.0</v>
      </c>
      <c r="E11" s="90"/>
      <c r="F11" s="68" t="s">
        <v>50</v>
      </c>
      <c r="G11" s="69">
        <f>G10/60*100</f>
        <v>61.66666667</v>
      </c>
      <c r="H11" s="62"/>
      <c r="I11" s="104" t="s">
        <v>188</v>
      </c>
      <c r="J11" s="105">
        <v>46037.0</v>
      </c>
      <c r="K11" s="106">
        <v>12000.0</v>
      </c>
      <c r="L11" s="107" t="s">
        <v>189</v>
      </c>
    </row>
    <row r="12" ht="22.5" customHeight="1">
      <c r="A12" s="63">
        <v>46041.0</v>
      </c>
      <c r="B12" s="95">
        <v>58.0</v>
      </c>
      <c r="C12" s="65"/>
      <c r="D12" s="66">
        <v>2.0</v>
      </c>
      <c r="E12" s="67"/>
      <c r="F12" s="108" t="s">
        <v>190</v>
      </c>
      <c r="G12" s="109">
        <f>SUM(Table3[Closed?])</f>
        <v>88600</v>
      </c>
      <c r="H12" s="62"/>
      <c r="I12" s="102" t="s">
        <v>191</v>
      </c>
      <c r="J12" s="103">
        <v>46038.0</v>
      </c>
      <c r="K12" s="79"/>
      <c r="L12" s="110" t="s">
        <v>192</v>
      </c>
    </row>
    <row r="13" ht="22.5" customHeight="1">
      <c r="A13" s="70">
        <v>46042.0</v>
      </c>
      <c r="B13" s="88">
        <v>77.0</v>
      </c>
      <c r="C13" s="72"/>
      <c r="D13" s="89">
        <v>1.0</v>
      </c>
      <c r="E13" s="90">
        <f>SUM(D12:D16)</f>
        <v>16</v>
      </c>
      <c r="H13" s="62"/>
      <c r="I13" s="104" t="s">
        <v>193</v>
      </c>
      <c r="J13" s="105">
        <v>46038.0</v>
      </c>
      <c r="K13" s="106">
        <v>12000.0</v>
      </c>
      <c r="L13" s="111" t="s">
        <v>189</v>
      </c>
    </row>
    <row r="14" ht="22.5" customHeight="1">
      <c r="A14" s="63">
        <v>46043.0</v>
      </c>
      <c r="B14" s="95">
        <v>83.0</v>
      </c>
      <c r="C14" s="65"/>
      <c r="D14" s="66">
        <v>5.0</v>
      </c>
      <c r="E14" s="67"/>
      <c r="F14" s="62"/>
      <c r="G14" s="62"/>
      <c r="H14" s="62"/>
      <c r="I14" s="102"/>
      <c r="J14" s="103"/>
      <c r="K14" s="79"/>
      <c r="L14" s="80"/>
    </row>
    <row r="15" ht="22.5" customHeight="1">
      <c r="A15" s="70">
        <v>46044.0</v>
      </c>
      <c r="B15" s="88">
        <v>13.0</v>
      </c>
      <c r="C15" s="72"/>
      <c r="D15" s="89">
        <v>3.0</v>
      </c>
      <c r="E15" s="90"/>
      <c r="F15" s="62"/>
      <c r="G15" s="62"/>
      <c r="H15" s="62"/>
      <c r="I15" s="112" t="s">
        <v>194</v>
      </c>
      <c r="J15" s="113">
        <v>46041.0</v>
      </c>
      <c r="K15" s="114">
        <v>12000.0</v>
      </c>
      <c r="L15" s="115"/>
    </row>
    <row r="16" ht="22.5" customHeight="1">
      <c r="A16" s="63">
        <v>46045.0</v>
      </c>
      <c r="B16" s="95">
        <v>36.0</v>
      </c>
      <c r="C16" s="65"/>
      <c r="D16" s="66">
        <v>5.0</v>
      </c>
      <c r="E16" s="67"/>
      <c r="F16" s="62"/>
      <c r="G16" s="62"/>
      <c r="H16" s="62"/>
      <c r="I16" s="111" t="s">
        <v>195</v>
      </c>
      <c r="J16" s="116">
        <v>46041.0</v>
      </c>
      <c r="K16" s="117"/>
      <c r="L16" s="111" t="s">
        <v>196</v>
      </c>
    </row>
    <row r="17" ht="22.5" customHeight="1">
      <c r="A17" s="118">
        <v>46048.0</v>
      </c>
      <c r="B17" s="88">
        <v>67.0</v>
      </c>
      <c r="C17" s="72"/>
      <c r="D17" s="89">
        <v>6.0</v>
      </c>
      <c r="E17" s="84"/>
      <c r="F17" s="62"/>
      <c r="G17" s="62"/>
      <c r="H17" s="62"/>
      <c r="I17" s="111" t="s">
        <v>197</v>
      </c>
      <c r="J17" s="116">
        <v>46042.0</v>
      </c>
      <c r="K17" s="117"/>
      <c r="L17" s="84"/>
    </row>
    <row r="18" ht="22.5" customHeight="1">
      <c r="A18" s="63">
        <v>46049.0</v>
      </c>
      <c r="B18" s="65"/>
      <c r="C18" s="65"/>
      <c r="D18" s="119"/>
      <c r="E18" s="80"/>
      <c r="F18" s="62"/>
      <c r="G18" s="62"/>
      <c r="H18" s="62"/>
      <c r="I18" s="120" t="s">
        <v>198</v>
      </c>
      <c r="J18" s="121">
        <v>46042.0</v>
      </c>
      <c r="K18" s="114">
        <v>12000.0</v>
      </c>
      <c r="L18" s="115"/>
    </row>
    <row r="19" ht="22.5" customHeight="1">
      <c r="A19" s="70">
        <v>46050.0</v>
      </c>
      <c r="B19" s="72"/>
      <c r="C19" s="72"/>
      <c r="D19" s="122"/>
      <c r="E19" s="84"/>
      <c r="F19" s="62"/>
      <c r="G19" s="62"/>
      <c r="H19" s="62"/>
      <c r="I19" s="111" t="s">
        <v>199</v>
      </c>
      <c r="J19" s="116">
        <v>46042.0</v>
      </c>
      <c r="K19" s="123"/>
      <c r="L19" s="84"/>
    </row>
    <row r="20" ht="22.5" customHeight="1">
      <c r="A20" s="63">
        <v>46051.0</v>
      </c>
      <c r="B20" s="65"/>
      <c r="C20" s="65"/>
      <c r="D20" s="119"/>
      <c r="E20" s="80"/>
      <c r="F20" s="62"/>
      <c r="G20" s="62"/>
      <c r="H20" s="62"/>
      <c r="I20" s="120" t="s">
        <v>200</v>
      </c>
      <c r="J20" s="121">
        <v>46042.0</v>
      </c>
      <c r="K20" s="124"/>
      <c r="L20" s="120" t="s">
        <v>201</v>
      </c>
    </row>
    <row r="21" ht="22.5" customHeight="1">
      <c r="A21" s="70">
        <v>46052.0</v>
      </c>
      <c r="B21" s="72"/>
      <c r="C21" s="72"/>
      <c r="D21" s="122"/>
      <c r="E21" s="125"/>
      <c r="F21" s="6" t="s">
        <v>50</v>
      </c>
      <c r="G21" s="7">
        <f>G10/60*100</f>
        <v>61.66666667</v>
      </c>
      <c r="H21" s="62"/>
      <c r="I21" s="111" t="s">
        <v>202</v>
      </c>
      <c r="J21" s="116">
        <v>46042.0</v>
      </c>
      <c r="K21" s="123"/>
      <c r="L21" s="84"/>
    </row>
    <row r="22" ht="22.5" customHeight="1">
      <c r="A22" s="126"/>
      <c r="B22" s="127"/>
      <c r="C22" s="127"/>
      <c r="D22" s="128"/>
      <c r="E22" s="129"/>
      <c r="F22" s="6" t="s">
        <v>52</v>
      </c>
      <c r="G22" s="7">
        <f>DAY(TODAY()) / DAY(EOMONTH(TODAY(), 6))*100</f>
        <v>70.96774194</v>
      </c>
      <c r="H22" s="62"/>
      <c r="I22" s="111" t="s">
        <v>203</v>
      </c>
      <c r="J22" s="116">
        <v>46043.0</v>
      </c>
      <c r="K22" s="130"/>
      <c r="L22" s="130" t="s">
        <v>204</v>
      </c>
    </row>
    <row r="23" ht="22.5" customHeight="1">
      <c r="E23" s="131"/>
      <c r="H23" s="131"/>
      <c r="I23" s="111" t="s">
        <v>205</v>
      </c>
      <c r="J23" s="116">
        <v>46044.0</v>
      </c>
      <c r="K23" s="123"/>
      <c r="L23" s="84"/>
    </row>
    <row r="24" ht="22.5" customHeight="1">
      <c r="E24" s="62"/>
      <c r="I24" s="111" t="s">
        <v>206</v>
      </c>
      <c r="J24" s="116">
        <v>46044.0</v>
      </c>
      <c r="K24" s="130"/>
      <c r="L24" s="130" t="s">
        <v>196</v>
      </c>
    </row>
    <row r="25" ht="22.5" customHeight="1">
      <c r="E25" s="62"/>
      <c r="I25" s="111" t="s">
        <v>207</v>
      </c>
      <c r="J25" s="116">
        <v>46044.0</v>
      </c>
      <c r="K25" s="123"/>
      <c r="L25" s="84"/>
    </row>
    <row r="26" ht="22.5" customHeight="1">
      <c r="E26" s="62"/>
      <c r="I26" s="111" t="s">
        <v>208</v>
      </c>
      <c r="J26" s="116">
        <v>46045.0</v>
      </c>
      <c r="K26" s="123"/>
      <c r="L26" s="84"/>
    </row>
    <row r="27" ht="22.5" customHeight="1">
      <c r="A27" s="62" t="s">
        <v>209</v>
      </c>
      <c r="B27" s="62"/>
      <c r="D27" s="62" t="s">
        <v>210</v>
      </c>
      <c r="E27" s="62"/>
      <c r="F27" s="62"/>
      <c r="G27" s="62"/>
      <c r="H27" s="62"/>
      <c r="I27" s="111" t="s">
        <v>211</v>
      </c>
      <c r="J27" s="116">
        <v>46045.0</v>
      </c>
      <c r="K27" s="123"/>
      <c r="L27" s="84"/>
    </row>
    <row r="28" ht="22.5" customHeight="1">
      <c r="A28" s="62" t="s">
        <v>212</v>
      </c>
      <c r="B28" s="62"/>
      <c r="D28" s="62" t="s">
        <v>213</v>
      </c>
      <c r="E28" s="62"/>
      <c r="F28" s="62"/>
      <c r="G28" s="62"/>
      <c r="H28" s="62"/>
      <c r="I28" s="111" t="s">
        <v>214</v>
      </c>
      <c r="J28" s="116">
        <v>46045.0</v>
      </c>
      <c r="K28" s="123"/>
      <c r="L28" s="111" t="s">
        <v>215</v>
      </c>
    </row>
    <row r="29" ht="22.5" customHeight="1">
      <c r="A29" s="62" t="s">
        <v>216</v>
      </c>
      <c r="B29" s="62" t="s">
        <v>217</v>
      </c>
      <c r="D29" s="131" t="s">
        <v>218</v>
      </c>
      <c r="E29" s="62"/>
      <c r="F29" s="62"/>
      <c r="G29" s="62"/>
      <c r="H29" s="62"/>
      <c r="I29" s="120" t="s">
        <v>219</v>
      </c>
      <c r="J29" s="121">
        <v>46045.0</v>
      </c>
      <c r="K29" s="132">
        <v>9600.0</v>
      </c>
      <c r="L29" s="115"/>
    </row>
    <row r="30" ht="22.5" customHeight="1">
      <c r="A30" s="62" t="s">
        <v>220</v>
      </c>
      <c r="B30" s="62"/>
      <c r="D30" s="131" t="s">
        <v>221</v>
      </c>
      <c r="E30" s="62"/>
      <c r="F30" s="62"/>
      <c r="G30" s="62"/>
      <c r="H30" s="62"/>
      <c r="I30" s="111" t="s">
        <v>222</v>
      </c>
      <c r="J30" s="116">
        <v>46045.0</v>
      </c>
      <c r="K30" s="123"/>
      <c r="L30" s="84"/>
    </row>
    <row r="31" ht="22.5" customHeight="1">
      <c r="A31" s="131" t="s">
        <v>223</v>
      </c>
      <c r="B31" s="62"/>
      <c r="D31" s="131" t="s">
        <v>224</v>
      </c>
      <c r="E31" s="62"/>
      <c r="F31" s="62"/>
      <c r="G31" s="62"/>
      <c r="H31" s="62"/>
      <c r="I31" s="111" t="s">
        <v>225</v>
      </c>
      <c r="J31" s="116">
        <v>46046.0</v>
      </c>
      <c r="K31" s="123"/>
      <c r="L31" s="84"/>
    </row>
    <row r="32" ht="22.5" customHeight="1">
      <c r="A32" s="133" t="s">
        <v>226</v>
      </c>
      <c r="B32" s="62"/>
      <c r="D32" s="131" t="s">
        <v>227</v>
      </c>
      <c r="E32" s="62"/>
      <c r="F32" s="62"/>
      <c r="G32" s="62"/>
      <c r="H32" s="62"/>
      <c r="I32" s="120" t="s">
        <v>228</v>
      </c>
      <c r="J32" s="121">
        <v>46048.0</v>
      </c>
      <c r="K32" s="132">
        <v>12000.0</v>
      </c>
      <c r="L32" s="84"/>
    </row>
    <row r="33" ht="22.5" customHeight="1">
      <c r="A33" s="131" t="s">
        <v>229</v>
      </c>
      <c r="B33" s="62"/>
      <c r="I33" s="111" t="s">
        <v>230</v>
      </c>
      <c r="J33" s="116">
        <v>46049.0</v>
      </c>
      <c r="K33" s="123"/>
      <c r="L33" s="84"/>
    </row>
    <row r="34" ht="22.5" customHeight="1">
      <c r="A34" s="62"/>
      <c r="B34" s="62"/>
      <c r="I34" s="120" t="s">
        <v>231</v>
      </c>
      <c r="J34" s="121">
        <v>46049.0</v>
      </c>
      <c r="K34" s="132">
        <v>9500.0</v>
      </c>
      <c r="L34" s="84"/>
    </row>
    <row r="35" ht="22.5" customHeight="1">
      <c r="A35" s="62"/>
      <c r="B35" s="62"/>
      <c r="I35" s="111" t="s">
        <v>232</v>
      </c>
      <c r="J35" s="116">
        <v>46050.0</v>
      </c>
      <c r="K35" s="123"/>
      <c r="L35" s="84"/>
      <c r="O35" s="20">
        <f>G10*41.66</f>
        <v>1541.42</v>
      </c>
      <c r="P35" s="20">
        <f>1666+(O35*0.71)</f>
        <v>2760.4082</v>
      </c>
    </row>
    <row r="36" ht="22.5" customHeight="1">
      <c r="A36" s="11" t="s">
        <v>233</v>
      </c>
      <c r="E36" s="62"/>
      <c r="F36" s="62"/>
      <c r="G36" s="62"/>
      <c r="H36" s="62"/>
      <c r="I36" s="111" t="s">
        <v>234</v>
      </c>
      <c r="J36" s="116">
        <v>46050.0</v>
      </c>
      <c r="K36" s="123"/>
      <c r="L36" s="84"/>
    </row>
    <row r="37" ht="22.5" customHeight="1">
      <c r="A37" s="11" t="s">
        <v>235</v>
      </c>
      <c r="B37" s="11" t="s">
        <v>236</v>
      </c>
      <c r="E37" s="62"/>
      <c r="F37" s="62"/>
      <c r="G37" s="62"/>
      <c r="H37" s="62"/>
      <c r="I37" s="111" t="s">
        <v>237</v>
      </c>
      <c r="J37" s="116">
        <v>46050.0</v>
      </c>
      <c r="K37" s="123"/>
      <c r="L37" s="84"/>
    </row>
    <row r="38" ht="22.5" customHeight="1">
      <c r="A38" s="11" t="s">
        <v>238</v>
      </c>
      <c r="B38" s="11" t="s">
        <v>239</v>
      </c>
      <c r="E38" s="62"/>
      <c r="F38" s="62"/>
      <c r="G38" s="62"/>
      <c r="H38" s="62"/>
      <c r="I38" s="111" t="s">
        <v>240</v>
      </c>
      <c r="J38" s="116">
        <v>46050.0</v>
      </c>
      <c r="K38" s="123"/>
      <c r="L38" s="84"/>
    </row>
    <row r="39" ht="22.5" customHeight="1">
      <c r="A39" s="11" t="s">
        <v>241</v>
      </c>
      <c r="B39" s="11" t="s">
        <v>242</v>
      </c>
      <c r="E39" s="62"/>
      <c r="F39" s="131" t="s">
        <v>243</v>
      </c>
      <c r="G39" s="62"/>
      <c r="H39" s="131"/>
      <c r="I39" s="16" t="s">
        <v>238</v>
      </c>
      <c r="J39" s="116">
        <v>46051.0</v>
      </c>
      <c r="K39" s="123"/>
      <c r="L39" s="84"/>
    </row>
    <row r="40" ht="22.5" customHeight="1">
      <c r="A40" s="11" t="s">
        <v>244</v>
      </c>
      <c r="E40" s="62"/>
      <c r="F40" s="131"/>
      <c r="G40" s="62"/>
      <c r="H40" s="62"/>
      <c r="I40" s="111" t="s">
        <v>241</v>
      </c>
      <c r="J40" s="116">
        <v>46051.0</v>
      </c>
      <c r="K40" s="123"/>
      <c r="L40" s="84"/>
    </row>
    <row r="41" ht="22.5" customHeight="1">
      <c r="A41" s="134" t="s">
        <v>245</v>
      </c>
      <c r="E41" s="62"/>
      <c r="F41" s="131"/>
      <c r="G41" s="62"/>
      <c r="H41" s="62"/>
      <c r="I41" s="111" t="s">
        <v>246</v>
      </c>
      <c r="J41" s="116">
        <v>46051.0</v>
      </c>
      <c r="K41" s="123"/>
      <c r="L41" s="84"/>
    </row>
    <row r="42" ht="22.5" customHeight="1">
      <c r="E42" s="62"/>
      <c r="F42" s="131"/>
      <c r="G42" s="131"/>
      <c r="H42" s="62"/>
      <c r="I42" s="135" t="s">
        <v>247</v>
      </c>
      <c r="J42" s="116">
        <v>46052.0</v>
      </c>
      <c r="K42" s="123"/>
      <c r="L42" s="84"/>
    </row>
    <row r="43" ht="22.5" customHeight="1">
      <c r="E43" s="62"/>
      <c r="F43" s="131"/>
      <c r="G43" s="62"/>
      <c r="H43" s="62"/>
      <c r="I43" s="111" t="s">
        <v>248</v>
      </c>
      <c r="J43" s="116">
        <v>46052.0</v>
      </c>
      <c r="K43" s="123"/>
      <c r="L43" s="84"/>
    </row>
    <row r="44" ht="22.5" customHeight="1">
      <c r="E44" s="62"/>
      <c r="F44" s="131"/>
      <c r="G44" s="131"/>
      <c r="H44" s="62"/>
      <c r="I44" s="111"/>
      <c r="J44" s="116"/>
      <c r="K44" s="123"/>
      <c r="L44" s="84"/>
    </row>
    <row r="45">
      <c r="E45" s="62"/>
      <c r="F45" s="131" t="s">
        <v>249</v>
      </c>
      <c r="G45" s="62"/>
      <c r="H45" s="62"/>
      <c r="I45" s="62"/>
    </row>
    <row r="46">
      <c r="A46" s="11" t="s">
        <v>250</v>
      </c>
      <c r="B46" s="11">
        <v>27.0</v>
      </c>
      <c r="E46" s="62"/>
      <c r="F46" s="131"/>
      <c r="G46" s="62"/>
      <c r="H46" s="62"/>
      <c r="I46" s="62"/>
    </row>
    <row r="47">
      <c r="A47" s="11" t="s">
        <v>251</v>
      </c>
      <c r="B47" s="11">
        <v>13.0</v>
      </c>
      <c r="E47" s="62"/>
      <c r="F47" s="136" t="s">
        <v>64</v>
      </c>
      <c r="G47" s="62"/>
      <c r="H47" s="62"/>
      <c r="I47" s="62"/>
    </row>
    <row r="48">
      <c r="A48" s="11" t="s">
        <v>252</v>
      </c>
      <c r="B48" s="11">
        <v>13.0</v>
      </c>
      <c r="E48" s="62"/>
      <c r="F48" s="62"/>
      <c r="G48" s="62"/>
      <c r="H48" s="62"/>
      <c r="I48" s="62"/>
    </row>
    <row r="49">
      <c r="A49" s="11" t="s">
        <v>253</v>
      </c>
      <c r="B49" s="11">
        <v>8.0</v>
      </c>
      <c r="E49" s="62"/>
      <c r="G49" s="62"/>
      <c r="H49" s="62"/>
      <c r="I49" s="62"/>
    </row>
    <row r="50">
      <c r="E50" s="62"/>
      <c r="F50" s="131"/>
      <c r="G50" s="62"/>
      <c r="H50" s="62"/>
      <c r="I50" s="62"/>
    </row>
    <row r="51">
      <c r="E51" s="62"/>
      <c r="F51" s="62"/>
      <c r="G51" s="62"/>
      <c r="H51" s="62"/>
      <c r="I51" s="62"/>
    </row>
    <row r="52">
      <c r="E52" s="62"/>
      <c r="F52" s="131"/>
      <c r="G52" s="62"/>
      <c r="H52" s="62"/>
      <c r="I52" s="62"/>
    </row>
    <row r="53">
      <c r="E53" s="62"/>
      <c r="F53" s="62"/>
      <c r="G53" s="62"/>
      <c r="H53" s="62"/>
      <c r="I53" s="62"/>
    </row>
    <row r="54">
      <c r="E54" s="62"/>
      <c r="F54" s="62"/>
      <c r="G54" s="62"/>
      <c r="H54" s="62"/>
      <c r="I54" s="62"/>
    </row>
    <row r="55">
      <c r="E55" s="62"/>
      <c r="F55" s="62"/>
      <c r="G55" s="62"/>
      <c r="H55" s="62"/>
      <c r="I55" s="62"/>
    </row>
    <row r="56">
      <c r="C56" s="11" t="s">
        <v>254</v>
      </c>
      <c r="F56" s="11" t="s">
        <v>255</v>
      </c>
    </row>
    <row r="57">
      <c r="F57" s="131" t="s">
        <v>256</v>
      </c>
    </row>
  </sheetData>
  <dataValidations>
    <dataValidation type="custom" allowBlank="1" showDropDown="1" sqref="A2:A22 J4:J43">
      <formula1>OR(NOT(ISERROR(DATEVALUE(A2))), AND(ISNUMBER(A2), LEFT(CELL("format", A2))="D"))</formula1>
    </dataValidation>
    <dataValidation type="custom" allowBlank="1" showDropDown="1" sqref="K4:K43">
      <formula1>AND(ISNUMBER(K4),(NOT(OR(NOT(ISERROR(DATEVALUE(K4))), AND(ISNUMBER(K4), LEFT(CELL("format", K4))="D")))))</formula1>
    </dataValidation>
  </dataValidations>
  <hyperlinks>
    <hyperlink r:id="rId1" ref="A32"/>
  </hyperlinks>
  <drawing r:id="rId2"/>
  <tableParts count="2"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7" max="7" width="26.5"/>
    <col customWidth="1" min="8" max="8" width="15.88"/>
    <col customWidth="1" min="9" max="9" width="13.75"/>
  </cols>
  <sheetData>
    <row r="1" ht="22.5" customHeight="1">
      <c r="A1" s="137" t="s">
        <v>257</v>
      </c>
      <c r="B1" s="137" t="s">
        <v>258</v>
      </c>
      <c r="C1" s="137" t="s">
        <v>259</v>
      </c>
      <c r="D1" s="137" t="s">
        <v>260</v>
      </c>
      <c r="E1" s="138" t="s">
        <v>13</v>
      </c>
      <c r="F1" s="138" t="s">
        <v>69</v>
      </c>
    </row>
    <row r="2" ht="22.5" customHeight="1">
      <c r="A2" s="48">
        <v>45992.0</v>
      </c>
      <c r="B2" s="139">
        <v>126.0</v>
      </c>
      <c r="C2" s="139">
        <v>8.0</v>
      </c>
      <c r="D2" s="139">
        <v>4.0</v>
      </c>
      <c r="E2" s="39"/>
      <c r="F2" s="39"/>
      <c r="Q2" s="140"/>
    </row>
    <row r="3" ht="22.5" customHeight="1">
      <c r="A3" s="48">
        <v>45993.0</v>
      </c>
      <c r="B3" s="139">
        <v>152.0</v>
      </c>
      <c r="C3" s="141">
        <v>19.0</v>
      </c>
      <c r="D3" s="139">
        <v>3.0</v>
      </c>
      <c r="E3" s="39"/>
      <c r="F3" s="142">
        <f>SUM(D2:D6)</f>
        <v>22</v>
      </c>
      <c r="G3" s="46" t="s">
        <v>261</v>
      </c>
      <c r="H3" s="143" t="s">
        <v>69</v>
      </c>
      <c r="I3" s="46" t="s">
        <v>131</v>
      </c>
      <c r="K3" s="19" t="s">
        <v>262</v>
      </c>
      <c r="L3" s="37">
        <f>SUM(Calls_Shown_Dec[[#ALL],[Close?]])</f>
        <v>57500</v>
      </c>
    </row>
    <row r="4" ht="22.5" customHeight="1">
      <c r="A4" s="48">
        <v>45994.0</v>
      </c>
      <c r="B4" s="139">
        <v>115.0</v>
      </c>
      <c r="C4" s="139">
        <v>23.0</v>
      </c>
      <c r="D4" s="139">
        <v>5.0</v>
      </c>
      <c r="E4" s="39"/>
      <c r="F4" s="39"/>
      <c r="G4" s="16" t="s">
        <v>263</v>
      </c>
      <c r="H4" s="144">
        <v>45992.0</v>
      </c>
      <c r="I4" s="145"/>
    </row>
    <row r="5" ht="22.5" customHeight="1">
      <c r="A5" s="48">
        <v>45995.0</v>
      </c>
      <c r="B5" s="139">
        <v>96.0</v>
      </c>
      <c r="C5" s="139">
        <v>14.0</v>
      </c>
      <c r="D5" s="139">
        <v>5.0</v>
      </c>
      <c r="E5" s="39"/>
      <c r="F5" s="39"/>
      <c r="G5" s="16" t="s">
        <v>264</v>
      </c>
      <c r="H5" s="144">
        <v>45994.0</v>
      </c>
      <c r="I5" s="145"/>
    </row>
    <row r="6" ht="22.5" customHeight="1">
      <c r="A6" s="48">
        <v>45996.0</v>
      </c>
      <c r="B6" s="139">
        <v>101.0</v>
      </c>
      <c r="C6" s="139">
        <v>17.0</v>
      </c>
      <c r="D6" s="139">
        <v>5.0</v>
      </c>
      <c r="E6" s="39"/>
      <c r="F6" s="39"/>
      <c r="G6" s="16" t="s">
        <v>265</v>
      </c>
      <c r="H6" s="144">
        <v>45994.0</v>
      </c>
      <c r="I6" s="145"/>
      <c r="K6" s="32" t="s">
        <v>266</v>
      </c>
    </row>
    <row r="7" ht="22.5" customHeight="1">
      <c r="A7" s="48">
        <v>45999.0</v>
      </c>
      <c r="B7" s="139">
        <v>29.0</v>
      </c>
      <c r="C7" s="139">
        <v>7.0</v>
      </c>
      <c r="D7" s="146">
        <v>1.0</v>
      </c>
      <c r="E7" s="39"/>
      <c r="F7" s="39"/>
      <c r="G7" s="16" t="s">
        <v>267</v>
      </c>
      <c r="H7" s="144">
        <v>45995.0</v>
      </c>
      <c r="I7" s="145"/>
      <c r="K7" s="147" t="s">
        <v>268</v>
      </c>
    </row>
    <row r="8" ht="22.5" customHeight="1">
      <c r="A8" s="48">
        <v>46000.0</v>
      </c>
      <c r="B8" s="139">
        <v>131.0</v>
      </c>
      <c r="C8" s="139">
        <v>18.0</v>
      </c>
      <c r="D8" s="146">
        <v>2.0</v>
      </c>
      <c r="E8" s="39"/>
      <c r="F8" s="39"/>
      <c r="G8" s="16" t="s">
        <v>269</v>
      </c>
      <c r="H8" s="144">
        <v>45995.0</v>
      </c>
      <c r="I8" s="145"/>
    </row>
    <row r="9" ht="22.5" customHeight="1">
      <c r="A9" s="48">
        <v>46001.0</v>
      </c>
      <c r="B9" s="139">
        <v>185.0</v>
      </c>
      <c r="C9" s="139">
        <v>25.0</v>
      </c>
      <c r="D9" s="139">
        <v>11.0</v>
      </c>
      <c r="E9" s="39"/>
      <c r="F9" s="142">
        <f>SUM(D7:D11)</f>
        <v>22</v>
      </c>
      <c r="G9" s="16" t="s">
        <v>270</v>
      </c>
      <c r="H9" s="144">
        <v>45996.0</v>
      </c>
      <c r="I9" s="145"/>
    </row>
    <row r="10" ht="22.5" customHeight="1">
      <c r="A10" s="148">
        <v>46002.0</v>
      </c>
      <c r="B10" s="149"/>
      <c r="C10" s="149">
        <v>2.0</v>
      </c>
      <c r="D10" s="149">
        <v>2.0</v>
      </c>
      <c r="E10" s="31" t="s">
        <v>271</v>
      </c>
      <c r="F10" s="150"/>
      <c r="G10" s="16" t="s">
        <v>272</v>
      </c>
      <c r="H10" s="144">
        <v>45996.0</v>
      </c>
      <c r="I10" s="145"/>
    </row>
    <row r="11" ht="22.5" customHeight="1">
      <c r="A11" s="48">
        <v>46003.0</v>
      </c>
      <c r="B11" s="151">
        <v>112.0</v>
      </c>
      <c r="C11" s="152">
        <v>17.0</v>
      </c>
      <c r="D11" s="139">
        <v>6.0</v>
      </c>
      <c r="E11" s="39"/>
      <c r="F11" s="39"/>
      <c r="G11" s="153" t="s">
        <v>273</v>
      </c>
      <c r="H11" s="154">
        <v>45995.0</v>
      </c>
      <c r="I11" s="155"/>
    </row>
    <row r="12" ht="22.5" customHeight="1">
      <c r="A12" s="148">
        <v>46006.0</v>
      </c>
      <c r="B12" s="156"/>
      <c r="C12" s="149">
        <v>0.0</v>
      </c>
      <c r="D12" s="149"/>
      <c r="E12" s="31" t="s">
        <v>274</v>
      </c>
      <c r="F12" s="150"/>
      <c r="G12" s="16" t="s">
        <v>267</v>
      </c>
      <c r="H12" s="144">
        <v>45996.0</v>
      </c>
      <c r="I12" s="145"/>
    </row>
    <row r="13" ht="22.5" customHeight="1">
      <c r="A13" s="48">
        <v>46007.0</v>
      </c>
      <c r="B13" s="139">
        <v>20.0</v>
      </c>
      <c r="C13" s="139">
        <v>5.0</v>
      </c>
      <c r="D13" s="139">
        <v>2.0</v>
      </c>
      <c r="E13" s="39"/>
      <c r="F13" s="142">
        <f>SUM(D12:D16)</f>
        <v>12</v>
      </c>
      <c r="G13" s="157" t="s">
        <v>275</v>
      </c>
      <c r="H13" s="158">
        <v>45995.0</v>
      </c>
      <c r="I13" s="159"/>
    </row>
    <row r="14" ht="22.5" customHeight="1">
      <c r="A14" s="48">
        <v>46008.0</v>
      </c>
      <c r="B14" s="160"/>
      <c r="C14" s="160"/>
      <c r="D14" s="139">
        <v>2.0</v>
      </c>
      <c r="E14" s="39"/>
      <c r="F14" s="39"/>
      <c r="G14" s="157" t="s">
        <v>276</v>
      </c>
      <c r="H14" s="158">
        <v>45999.0</v>
      </c>
      <c r="I14" s="159"/>
    </row>
    <row r="15" ht="22.5" customHeight="1">
      <c r="A15" s="50">
        <v>46009.0</v>
      </c>
      <c r="B15" s="146">
        <v>71.0</v>
      </c>
      <c r="C15" s="146">
        <v>19.0</v>
      </c>
      <c r="D15" s="146">
        <v>5.0</v>
      </c>
      <c r="E15" s="39"/>
      <c r="F15" s="39"/>
      <c r="G15" s="16" t="s">
        <v>277</v>
      </c>
      <c r="H15" s="144">
        <v>45999.0</v>
      </c>
      <c r="I15" s="145"/>
    </row>
    <row r="16" ht="22.5" customHeight="1">
      <c r="A16" s="50">
        <v>46010.0</v>
      </c>
      <c r="B16" s="146">
        <v>63.0</v>
      </c>
      <c r="C16" s="146">
        <v>7.0</v>
      </c>
      <c r="D16" s="146">
        <v>3.0</v>
      </c>
      <c r="E16" s="39"/>
      <c r="F16" s="39"/>
      <c r="G16" s="24" t="s">
        <v>278</v>
      </c>
      <c r="H16" s="161">
        <v>46001.0</v>
      </c>
      <c r="I16" s="23">
        <v>12000.0</v>
      </c>
    </row>
    <row r="17" ht="22.5" customHeight="1">
      <c r="A17" s="50">
        <v>46013.0</v>
      </c>
      <c r="B17" s="146">
        <v>0.0</v>
      </c>
      <c r="C17" s="146">
        <v>0.0</v>
      </c>
      <c r="D17" s="146">
        <v>2.0</v>
      </c>
      <c r="E17" s="39"/>
      <c r="F17" s="39"/>
      <c r="G17" s="16" t="s">
        <v>279</v>
      </c>
      <c r="H17" s="144">
        <v>46001.0</v>
      </c>
      <c r="I17" s="145"/>
    </row>
    <row r="18" ht="22.5" customHeight="1">
      <c r="A18" s="50">
        <v>46014.0</v>
      </c>
      <c r="B18" s="146">
        <v>0.0</v>
      </c>
      <c r="C18" s="146">
        <v>0.0</v>
      </c>
      <c r="D18" s="146">
        <v>1.0</v>
      </c>
      <c r="E18" s="39"/>
      <c r="F18" s="39"/>
      <c r="G18" s="16" t="s">
        <v>144</v>
      </c>
      <c r="H18" s="144">
        <v>46001.0</v>
      </c>
      <c r="I18" s="145"/>
    </row>
    <row r="19" ht="22.5" customHeight="1">
      <c r="G19" s="24" t="s">
        <v>280</v>
      </c>
      <c r="H19" s="161">
        <v>46002.0</v>
      </c>
      <c r="I19" s="23">
        <v>9500.0</v>
      </c>
    </row>
    <row r="20" ht="22.5" customHeight="1">
      <c r="G20" s="16" t="s">
        <v>281</v>
      </c>
      <c r="H20" s="144">
        <v>46003.0</v>
      </c>
      <c r="I20" s="145"/>
    </row>
    <row r="21" ht="22.5" customHeight="1">
      <c r="A21" s="19" t="s">
        <v>180</v>
      </c>
      <c r="B21" s="11">
        <v>1290.0</v>
      </c>
      <c r="G21" s="16" t="s">
        <v>282</v>
      </c>
      <c r="H21" s="144">
        <v>46003.0</v>
      </c>
      <c r="I21" s="145"/>
    </row>
    <row r="22" ht="22.5" customHeight="1">
      <c r="A22" s="19" t="s">
        <v>19</v>
      </c>
      <c r="B22" s="162">
        <f>SUM(Dec[Calls Answered])</f>
        <v>181</v>
      </c>
      <c r="G22" s="17" t="s">
        <v>283</v>
      </c>
      <c r="H22" s="163">
        <v>46003.0</v>
      </c>
      <c r="I22" s="26"/>
    </row>
    <row r="23" ht="22.5" customHeight="1">
      <c r="A23" s="19" t="s">
        <v>22</v>
      </c>
      <c r="B23" s="162">
        <f>SUM(Dec[Demos Booked])</f>
        <v>59</v>
      </c>
      <c r="G23" s="17" t="s">
        <v>284</v>
      </c>
      <c r="H23" s="163">
        <v>46003.0</v>
      </c>
      <c r="I23" s="26"/>
    </row>
    <row r="24" ht="22.5" customHeight="1">
      <c r="A24" s="19" t="s">
        <v>285</v>
      </c>
      <c r="B24" s="20">
        <f>1290/COUNTA(Dec[Date])</f>
        <v>75.88235294</v>
      </c>
      <c r="G24" s="17" t="s">
        <v>286</v>
      </c>
      <c r="H24" s="163">
        <v>46003.0</v>
      </c>
      <c r="I24" s="26"/>
    </row>
    <row r="25" ht="22.5" customHeight="1">
      <c r="A25" s="19" t="s">
        <v>28</v>
      </c>
      <c r="B25" s="162">
        <f>AVERAGE(Dec[Demos Booked])</f>
        <v>3.6875</v>
      </c>
      <c r="D25" s="19" t="s">
        <v>262</v>
      </c>
      <c r="E25" s="37">
        <f>SUM(Calls_Shown_Dec[[#ALL],[Close?]])</f>
        <v>57500</v>
      </c>
      <c r="G25" s="17" t="s">
        <v>287</v>
      </c>
      <c r="H25" s="163">
        <v>46003.0</v>
      </c>
      <c r="I25" s="26"/>
    </row>
    <row r="26" ht="22.5" customHeight="1">
      <c r="A26" s="19" t="s">
        <v>70</v>
      </c>
      <c r="B26" s="20">
        <f>B22/B21*100</f>
        <v>14.03100775</v>
      </c>
      <c r="G26" s="17" t="s">
        <v>288</v>
      </c>
      <c r="H26" s="163">
        <v>46003.0</v>
      </c>
      <c r="I26" s="26"/>
    </row>
    <row r="27" ht="22.5" customHeight="1">
      <c r="A27" s="19" t="s">
        <v>289</v>
      </c>
      <c r="B27" s="20">
        <f>((SUM(Dec[Calls Answered]))/SUM(Dec[Demos Booked]))</f>
        <v>3.06779661</v>
      </c>
      <c r="G27" s="17" t="s">
        <v>290</v>
      </c>
      <c r="H27" s="163">
        <v>46006.0</v>
      </c>
      <c r="I27" s="26"/>
    </row>
    <row r="28" ht="22.5" customHeight="1">
      <c r="A28" s="19" t="s">
        <v>125</v>
      </c>
      <c r="B28" s="20">
        <f>B21/B23</f>
        <v>21.86440678</v>
      </c>
      <c r="G28" s="17" t="s">
        <v>291</v>
      </c>
      <c r="H28" s="163">
        <v>46006.0</v>
      </c>
      <c r="I28" s="26"/>
    </row>
    <row r="29" ht="22.5" customHeight="1">
      <c r="A29" s="19" t="s">
        <v>76</v>
      </c>
      <c r="B29" s="20">
        <f>SUM(Dec[Demos Booked])/SUM(Dec[Calls Answered])*100</f>
        <v>32.59668508</v>
      </c>
      <c r="G29" s="17" t="s">
        <v>292</v>
      </c>
      <c r="H29" s="163">
        <v>46006.0</v>
      </c>
      <c r="I29" s="26"/>
    </row>
    <row r="30" ht="22.5" customHeight="1">
      <c r="A30" s="19" t="s">
        <v>32</v>
      </c>
      <c r="B30" s="20">
        <f>COUNTA(Calls_Shown_Dec[CALLS SHOWN Dec: 45])</f>
        <v>45</v>
      </c>
      <c r="G30" s="17" t="s">
        <v>293</v>
      </c>
      <c r="H30" s="163">
        <v>46006.0</v>
      </c>
      <c r="I30" s="26"/>
    </row>
    <row r="31" ht="22.5" customHeight="1">
      <c r="A31" s="19" t="s">
        <v>50</v>
      </c>
      <c r="B31" s="20">
        <f>B30/40*100</f>
        <v>112.5</v>
      </c>
      <c r="G31" s="17" t="s">
        <v>294</v>
      </c>
      <c r="H31" s="163">
        <v>46007.0</v>
      </c>
      <c r="I31" s="26"/>
    </row>
    <row r="32" ht="22.5" customHeight="1">
      <c r="A32" s="19" t="s">
        <v>295</v>
      </c>
      <c r="B32" s="164">
        <v>658500.0</v>
      </c>
      <c r="G32" s="17" t="s">
        <v>296</v>
      </c>
      <c r="H32" s="163">
        <v>46007.0</v>
      </c>
      <c r="I32" s="26"/>
    </row>
    <row r="33" ht="22.5" customHeight="1">
      <c r="A33" s="19" t="s">
        <v>297</v>
      </c>
      <c r="B33" s="29">
        <f>SUM(Calls_Shown_Dec[Close?])</f>
        <v>57500</v>
      </c>
      <c r="D33" s="19"/>
      <c r="G33" s="17" t="s">
        <v>298</v>
      </c>
      <c r="H33" s="163">
        <v>46007.0</v>
      </c>
      <c r="I33" s="26"/>
    </row>
    <row r="34" ht="22.5" customHeight="1">
      <c r="A34" s="19" t="s">
        <v>299</v>
      </c>
      <c r="B34" s="20">
        <f>B30/B23*100</f>
        <v>76.27118644</v>
      </c>
      <c r="D34" s="19"/>
      <c r="G34" s="17" t="s">
        <v>300</v>
      </c>
      <c r="H34" s="163">
        <v>46007.0</v>
      </c>
      <c r="I34" s="26"/>
    </row>
    <row r="35" ht="22.5" customHeight="1">
      <c r="A35" s="19" t="s">
        <v>301</v>
      </c>
      <c r="B35" s="20">
        <f>5/45*100</f>
        <v>11.11111111</v>
      </c>
      <c r="G35" s="17" t="s">
        <v>302</v>
      </c>
      <c r="H35" s="163">
        <v>46008.0</v>
      </c>
      <c r="I35" s="26"/>
    </row>
    <row r="36" ht="22.5" customHeight="1">
      <c r="G36" s="16" t="s">
        <v>303</v>
      </c>
      <c r="H36" s="163">
        <v>46007.0</v>
      </c>
      <c r="I36" s="26"/>
    </row>
    <row r="37" ht="22.5" customHeight="1">
      <c r="G37" s="24" t="s">
        <v>304</v>
      </c>
      <c r="H37" s="161">
        <v>46008.0</v>
      </c>
      <c r="I37" s="23">
        <v>12000.0</v>
      </c>
    </row>
    <row r="38" ht="22.5" customHeight="1">
      <c r="G38" s="24" t="s">
        <v>305</v>
      </c>
      <c r="H38" s="161">
        <v>46009.0</v>
      </c>
      <c r="I38" s="23">
        <v>12000.0</v>
      </c>
    </row>
    <row r="39" ht="22.5" customHeight="1">
      <c r="G39" s="16" t="s">
        <v>306</v>
      </c>
      <c r="H39" s="144">
        <v>46009.0</v>
      </c>
      <c r="I39" s="145"/>
    </row>
    <row r="40" ht="22.5" customHeight="1">
      <c r="G40" s="17" t="s">
        <v>307</v>
      </c>
      <c r="H40" s="163">
        <v>46010.0</v>
      </c>
      <c r="I40" s="26"/>
    </row>
    <row r="41" ht="22.5" customHeight="1">
      <c r="D41" s="19"/>
      <c r="G41" s="17" t="s">
        <v>308</v>
      </c>
      <c r="H41" s="163">
        <v>46013.0</v>
      </c>
      <c r="I41" s="26"/>
    </row>
    <row r="42" ht="22.5" customHeight="1">
      <c r="G42" s="17" t="s">
        <v>309</v>
      </c>
      <c r="H42" s="163">
        <v>46013.0</v>
      </c>
      <c r="I42" s="26"/>
    </row>
    <row r="43" ht="22.5" customHeight="1">
      <c r="G43" s="17" t="s">
        <v>310</v>
      </c>
      <c r="H43" s="163">
        <v>46013.0</v>
      </c>
      <c r="I43" s="26"/>
    </row>
    <row r="44" ht="22.5" customHeight="1">
      <c r="G44" s="17" t="s">
        <v>311</v>
      </c>
      <c r="H44" s="163">
        <v>46013.0</v>
      </c>
      <c r="I44" s="26"/>
    </row>
    <row r="45" ht="22.5" customHeight="1">
      <c r="G45" s="16" t="s">
        <v>312</v>
      </c>
      <c r="H45" s="163">
        <v>46013.0</v>
      </c>
      <c r="I45" s="26"/>
    </row>
    <row r="46" ht="22.5" customHeight="1">
      <c r="G46" s="17" t="s">
        <v>313</v>
      </c>
      <c r="H46" s="163">
        <v>46017.0</v>
      </c>
      <c r="I46" s="26"/>
    </row>
    <row r="47" ht="22.5" customHeight="1">
      <c r="G47" s="17" t="s">
        <v>314</v>
      </c>
      <c r="H47" s="163">
        <v>46020.0</v>
      </c>
      <c r="I47" s="26"/>
    </row>
    <row r="48" ht="22.5" customHeight="1">
      <c r="G48" s="24" t="s">
        <v>315</v>
      </c>
      <c r="H48" s="161">
        <v>46022.0</v>
      </c>
      <c r="I48" s="23">
        <v>12000.0</v>
      </c>
    </row>
  </sheetData>
  <dataValidations>
    <dataValidation type="custom" allowBlank="1" showDropDown="1" sqref="A2:A18 H4:H48">
      <formula1>OR(NOT(ISERROR(DATEVALUE(A2))), AND(ISNUMBER(A2), LEFT(CELL("format", A2))="D"))</formula1>
    </dataValidation>
    <dataValidation type="custom" allowBlank="1" showDropDown="1" sqref="B2:D18 I4:I48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5" t="s">
        <v>316</v>
      </c>
      <c r="B1" s="166"/>
      <c r="C1" s="166"/>
      <c r="D1" s="166"/>
      <c r="E1" s="166"/>
      <c r="F1" s="167"/>
      <c r="G1" s="168"/>
    </row>
    <row r="2">
      <c r="A2" s="168"/>
      <c r="B2" s="168"/>
      <c r="C2" s="168"/>
      <c r="D2" s="168"/>
      <c r="E2" s="168"/>
      <c r="F2" s="168"/>
      <c r="G2" s="168"/>
    </row>
    <row r="3">
      <c r="A3" s="169" t="s">
        <v>317</v>
      </c>
      <c r="B3" s="169" t="s">
        <v>318</v>
      </c>
      <c r="C3" s="169" t="s">
        <v>319</v>
      </c>
      <c r="D3" s="169" t="s">
        <v>320</v>
      </c>
      <c r="E3" s="169" t="s">
        <v>321</v>
      </c>
      <c r="F3" s="169" t="s">
        <v>322</v>
      </c>
      <c r="G3" s="168"/>
    </row>
    <row r="4">
      <c r="A4" s="170" t="s">
        <v>323</v>
      </c>
      <c r="B4" s="171">
        <v>13.0</v>
      </c>
      <c r="C4" s="171">
        <v>16.0</v>
      </c>
      <c r="D4" s="172">
        <v>34500.0</v>
      </c>
      <c r="E4" s="171">
        <v>8.0</v>
      </c>
      <c r="F4" s="171">
        <v>8.0</v>
      </c>
      <c r="G4" s="168"/>
    </row>
    <row r="5">
      <c r="A5" s="173" t="s">
        <v>324</v>
      </c>
      <c r="B5" s="174">
        <v>5.0</v>
      </c>
      <c r="C5" s="174">
        <v>5.0</v>
      </c>
      <c r="D5" s="175">
        <v>13500.0</v>
      </c>
      <c r="E5" s="174">
        <v>3.0</v>
      </c>
      <c r="F5" s="174">
        <v>2.0</v>
      </c>
      <c r="G5" s="168"/>
    </row>
    <row r="6">
      <c r="A6" s="170" t="s">
        <v>325</v>
      </c>
      <c r="B6" s="176">
        <v>3.0</v>
      </c>
      <c r="C6" s="171">
        <v>5.0</v>
      </c>
      <c r="D6" s="177">
        <v>9000.0</v>
      </c>
      <c r="E6" s="171">
        <v>5.0</v>
      </c>
      <c r="F6" s="176">
        <v>0.0</v>
      </c>
      <c r="G6" s="168"/>
    </row>
    <row r="7">
      <c r="A7" s="173" t="s">
        <v>326</v>
      </c>
      <c r="B7" s="174">
        <v>2.0</v>
      </c>
      <c r="C7" s="174">
        <v>3.0</v>
      </c>
      <c r="D7" s="175">
        <v>8750.0</v>
      </c>
      <c r="E7" s="174">
        <v>1.0</v>
      </c>
      <c r="F7" s="174">
        <v>2.0</v>
      </c>
      <c r="G7" s="168"/>
    </row>
    <row r="8">
      <c r="A8" s="170" t="s">
        <v>327</v>
      </c>
      <c r="B8" s="176">
        <v>2.0</v>
      </c>
      <c r="C8" s="176">
        <v>2.0</v>
      </c>
      <c r="D8" s="172">
        <v>5250.0</v>
      </c>
      <c r="E8" s="176">
        <v>2.0</v>
      </c>
      <c r="F8" s="176">
        <v>0.0</v>
      </c>
      <c r="G8" s="168"/>
    </row>
    <row r="9">
      <c r="A9" s="173" t="s">
        <v>328</v>
      </c>
      <c r="B9" s="174">
        <v>1.0</v>
      </c>
      <c r="C9" s="174">
        <v>1.0</v>
      </c>
      <c r="D9" s="175">
        <v>3000.0</v>
      </c>
      <c r="E9" s="174">
        <v>0.0</v>
      </c>
      <c r="F9" s="174">
        <v>1.0</v>
      </c>
      <c r="G9" s="168"/>
    </row>
    <row r="10">
      <c r="A10" s="178" t="s">
        <v>329</v>
      </c>
      <c r="B10" s="179">
        <v>24.0</v>
      </c>
      <c r="C10" s="179">
        <v>29.0</v>
      </c>
      <c r="D10" s="180">
        <v>72500.0</v>
      </c>
      <c r="E10" s="179">
        <v>18.0</v>
      </c>
      <c r="F10" s="179">
        <v>11.0</v>
      </c>
      <c r="G10" s="168"/>
    </row>
    <row r="11">
      <c r="A11" s="168"/>
      <c r="B11" s="168"/>
      <c r="C11" s="168"/>
      <c r="D11" s="168"/>
      <c r="E11" s="168"/>
      <c r="F11" s="168"/>
      <c r="G11" s="168"/>
    </row>
    <row r="12">
      <c r="A12" s="168"/>
      <c r="B12" s="168"/>
      <c r="C12" s="168"/>
      <c r="D12" s="168"/>
      <c r="E12" s="168"/>
      <c r="F12" s="168"/>
      <c r="G12" s="168"/>
    </row>
    <row r="13">
      <c r="A13" s="165" t="s">
        <v>330</v>
      </c>
      <c r="B13" s="166"/>
      <c r="C13" s="166"/>
      <c r="D13" s="166"/>
      <c r="E13" s="166"/>
      <c r="F13" s="167"/>
      <c r="G13" s="168"/>
    </row>
    <row r="14">
      <c r="A14" s="168"/>
      <c r="B14" s="168"/>
      <c r="C14" s="168"/>
      <c r="D14" s="168"/>
      <c r="E14" s="168"/>
      <c r="F14" s="168"/>
      <c r="G14" s="168"/>
    </row>
    <row r="15">
      <c r="A15" s="169" t="s">
        <v>331</v>
      </c>
      <c r="B15" s="169" t="s">
        <v>332</v>
      </c>
      <c r="C15" s="169" t="s">
        <v>333</v>
      </c>
      <c r="D15" s="169" t="s">
        <v>334</v>
      </c>
      <c r="E15" s="169" t="s">
        <v>335</v>
      </c>
      <c r="F15" s="169" t="s">
        <v>336</v>
      </c>
      <c r="G15" s="168"/>
    </row>
    <row r="16">
      <c r="A16" s="170" t="s">
        <v>327</v>
      </c>
      <c r="B16" s="176">
        <v>8.0</v>
      </c>
      <c r="C16" s="176">
        <v>11.0</v>
      </c>
      <c r="D16" s="176">
        <v>2.0</v>
      </c>
      <c r="E16" s="171">
        <v>3.0</v>
      </c>
      <c r="F16" s="171">
        <v>8.0</v>
      </c>
      <c r="G16" s="168"/>
    </row>
    <row r="17">
      <c r="A17" s="173" t="s">
        <v>325</v>
      </c>
      <c r="B17" s="174">
        <v>6.0</v>
      </c>
      <c r="C17" s="174">
        <v>7.0</v>
      </c>
      <c r="D17" s="174">
        <v>3.0</v>
      </c>
      <c r="E17" s="181">
        <v>5.0</v>
      </c>
      <c r="F17" s="174">
        <v>3.0</v>
      </c>
      <c r="G17" s="168"/>
    </row>
    <row r="18">
      <c r="A18" s="178" t="s">
        <v>337</v>
      </c>
      <c r="B18" s="179">
        <v>14.0</v>
      </c>
      <c r="C18" s="179">
        <v>18.0</v>
      </c>
      <c r="D18" s="179">
        <v>5.0</v>
      </c>
      <c r="E18" s="182">
        <v>8.0</v>
      </c>
      <c r="F18" s="182">
        <v>11.0</v>
      </c>
      <c r="G18" s="168"/>
    </row>
    <row r="19">
      <c r="A19" s="168"/>
      <c r="B19" s="168"/>
      <c r="C19" s="168"/>
      <c r="D19" s="168"/>
      <c r="E19" s="168"/>
      <c r="F19" s="168"/>
      <c r="G19" s="168"/>
    </row>
    <row r="20">
      <c r="A20" s="168"/>
      <c r="B20" s="168"/>
      <c r="C20" s="168"/>
      <c r="D20" s="168"/>
      <c r="E20" s="168"/>
      <c r="F20" s="168"/>
      <c r="G20" s="168"/>
    </row>
    <row r="21">
      <c r="A21" s="183" t="s">
        <v>338</v>
      </c>
      <c r="B21" s="166"/>
      <c r="C21" s="166"/>
      <c r="D21" s="166"/>
      <c r="E21" s="166"/>
      <c r="F21" s="167"/>
      <c r="G21" s="168"/>
    </row>
    <row r="22">
      <c r="A22" s="168"/>
      <c r="B22" s="168"/>
      <c r="C22" s="168"/>
      <c r="D22" s="168"/>
      <c r="E22" s="168"/>
      <c r="F22" s="168"/>
      <c r="G22" s="168"/>
    </row>
    <row r="23">
      <c r="A23" s="169" t="s">
        <v>339</v>
      </c>
      <c r="B23" s="169" t="s">
        <v>340</v>
      </c>
      <c r="C23" s="169" t="s">
        <v>322</v>
      </c>
      <c r="D23" s="169" t="s">
        <v>320</v>
      </c>
      <c r="E23" s="168"/>
      <c r="F23" s="168"/>
      <c r="G23" s="168"/>
    </row>
    <row r="24">
      <c r="A24" s="170" t="s">
        <v>323</v>
      </c>
      <c r="B24" s="171">
        <v>8.0</v>
      </c>
      <c r="C24" s="171">
        <v>8.0</v>
      </c>
      <c r="D24" s="184">
        <v>22000.0</v>
      </c>
      <c r="E24" s="168"/>
      <c r="F24" s="168"/>
      <c r="G24" s="168"/>
    </row>
    <row r="25">
      <c r="A25" s="173" t="s">
        <v>324</v>
      </c>
      <c r="B25" s="174">
        <v>2.0</v>
      </c>
      <c r="C25" s="174">
        <v>2.0</v>
      </c>
      <c r="D25" s="185">
        <v>6000.0</v>
      </c>
      <c r="E25" s="168"/>
      <c r="F25" s="168"/>
      <c r="G25" s="168"/>
    </row>
    <row r="26">
      <c r="A26" s="170" t="s">
        <v>326</v>
      </c>
      <c r="B26" s="176">
        <v>1.0</v>
      </c>
      <c r="C26" s="176">
        <v>2.0</v>
      </c>
      <c r="D26" s="186">
        <v>6000.0</v>
      </c>
      <c r="E26" s="168"/>
      <c r="F26" s="168"/>
      <c r="G26" s="168"/>
    </row>
    <row r="27">
      <c r="A27" s="173" t="s">
        <v>328</v>
      </c>
      <c r="B27" s="174">
        <v>1.0</v>
      </c>
      <c r="C27" s="174">
        <v>1.0</v>
      </c>
      <c r="D27" s="185">
        <v>3000.0</v>
      </c>
      <c r="E27" s="168"/>
      <c r="F27" s="168"/>
      <c r="G27" s="168"/>
    </row>
    <row r="28">
      <c r="A28" s="168"/>
      <c r="B28" s="168"/>
      <c r="C28" s="168"/>
      <c r="D28" s="168"/>
      <c r="E28" s="168"/>
      <c r="F28" s="168"/>
      <c r="G28" s="168"/>
    </row>
    <row r="29">
      <c r="A29" s="168"/>
      <c r="B29" s="168"/>
      <c r="C29" s="168"/>
      <c r="D29" s="168"/>
      <c r="E29" s="168"/>
      <c r="F29" s="168"/>
      <c r="G29" s="168"/>
    </row>
    <row r="30">
      <c r="A30" s="168"/>
      <c r="B30" s="168"/>
      <c r="C30" s="168"/>
      <c r="D30" s="168"/>
      <c r="E30" s="168"/>
      <c r="F30" s="168"/>
      <c r="G30" s="168"/>
    </row>
  </sheetData>
  <mergeCells count="3">
    <mergeCell ref="A1:F1"/>
    <mergeCell ref="A13:F13"/>
    <mergeCell ref="A21:F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0.5"/>
    <col customWidth="1" min="3" max="10" width="9.63"/>
    <col customWidth="1" min="11" max="26" width="7.63"/>
  </cols>
  <sheetData>
    <row r="1">
      <c r="A1" s="187" t="s">
        <v>341</v>
      </c>
    </row>
    <row r="3">
      <c r="A3" s="188" t="s">
        <v>342</v>
      </c>
      <c r="B3" s="188" t="s">
        <v>343</v>
      </c>
      <c r="C3" s="188" t="s">
        <v>344</v>
      </c>
      <c r="D3" s="188" t="s">
        <v>345</v>
      </c>
      <c r="E3" s="188" t="s">
        <v>346</v>
      </c>
      <c r="F3" s="188" t="s">
        <v>35</v>
      </c>
      <c r="G3" s="188" t="s">
        <v>347</v>
      </c>
      <c r="H3" s="188" t="s">
        <v>348</v>
      </c>
      <c r="I3" s="188" t="s">
        <v>37</v>
      </c>
      <c r="J3" s="188" t="s">
        <v>320</v>
      </c>
    </row>
    <row r="4">
      <c r="A4" s="189" t="s">
        <v>323</v>
      </c>
      <c r="B4" s="190" t="s">
        <v>349</v>
      </c>
      <c r="C4" s="190">
        <v>2.0</v>
      </c>
      <c r="D4" s="190">
        <v>1.0</v>
      </c>
      <c r="E4" s="190">
        <v>1.0</v>
      </c>
      <c r="F4" s="190" t="s">
        <v>350</v>
      </c>
      <c r="G4" s="190">
        <v>1.0</v>
      </c>
      <c r="H4" s="190">
        <v>0.0</v>
      </c>
      <c r="I4" s="190" t="s">
        <v>351</v>
      </c>
      <c r="J4" s="191">
        <v>12000.0</v>
      </c>
    </row>
    <row r="5">
      <c r="A5" s="189" t="s">
        <v>323</v>
      </c>
      <c r="B5" s="192" t="s">
        <v>352</v>
      </c>
      <c r="C5" s="192">
        <v>15.0</v>
      </c>
      <c r="D5" s="192">
        <v>6.0</v>
      </c>
      <c r="E5" s="192">
        <v>9.0</v>
      </c>
      <c r="F5" s="192" t="s">
        <v>353</v>
      </c>
      <c r="G5" s="192">
        <v>0.0</v>
      </c>
      <c r="H5" s="192">
        <v>3.0</v>
      </c>
      <c r="I5" s="192" t="s">
        <v>354</v>
      </c>
      <c r="J5" s="193">
        <v>0.0</v>
      </c>
    </row>
    <row r="7">
      <c r="A7" s="189" t="s">
        <v>328</v>
      </c>
      <c r="B7" s="190" t="s">
        <v>349</v>
      </c>
      <c r="C7" s="190">
        <v>11.0</v>
      </c>
      <c r="D7" s="190">
        <v>2.0</v>
      </c>
      <c r="E7" s="190">
        <v>9.0</v>
      </c>
      <c r="F7" s="190" t="s">
        <v>355</v>
      </c>
      <c r="G7" s="190">
        <v>2.0</v>
      </c>
      <c r="H7" s="190">
        <v>2.0</v>
      </c>
      <c r="I7" s="190" t="s">
        <v>356</v>
      </c>
      <c r="J7" s="191">
        <v>24000.0</v>
      </c>
    </row>
    <row r="8">
      <c r="A8" s="189" t="s">
        <v>328</v>
      </c>
      <c r="B8" s="192" t="s">
        <v>352</v>
      </c>
      <c r="C8" s="192">
        <v>2.0</v>
      </c>
      <c r="D8" s="192">
        <v>0.0</v>
      </c>
      <c r="E8" s="192">
        <v>2.0</v>
      </c>
      <c r="F8" s="192" t="s">
        <v>357</v>
      </c>
      <c r="G8" s="192">
        <v>0.0</v>
      </c>
      <c r="H8" s="192">
        <v>1.0</v>
      </c>
      <c r="I8" s="192" t="s">
        <v>354</v>
      </c>
      <c r="J8" s="193">
        <v>0.0</v>
      </c>
    </row>
    <row r="10">
      <c r="A10" s="189" t="s">
        <v>326</v>
      </c>
      <c r="B10" s="190" t="s">
        <v>349</v>
      </c>
      <c r="C10" s="190">
        <v>5.0</v>
      </c>
      <c r="D10" s="190">
        <v>1.0</v>
      </c>
      <c r="E10" s="190">
        <v>4.0</v>
      </c>
      <c r="F10" s="190" t="s">
        <v>358</v>
      </c>
      <c r="G10" s="190">
        <v>2.0</v>
      </c>
      <c r="H10" s="190">
        <v>0.0</v>
      </c>
      <c r="I10" s="190" t="s">
        <v>359</v>
      </c>
      <c r="J10" s="191">
        <v>24000.0</v>
      </c>
    </row>
    <row r="11">
      <c r="A11" s="189" t="s">
        <v>326</v>
      </c>
      <c r="B11" s="192" t="s">
        <v>352</v>
      </c>
      <c r="C11" s="192">
        <v>12.0</v>
      </c>
      <c r="D11" s="192">
        <v>3.0</v>
      </c>
      <c r="E11" s="192">
        <v>9.0</v>
      </c>
      <c r="F11" s="192" t="s">
        <v>360</v>
      </c>
      <c r="G11" s="192">
        <v>3.0</v>
      </c>
      <c r="H11" s="192">
        <v>5.0</v>
      </c>
      <c r="I11" s="192" t="s">
        <v>361</v>
      </c>
      <c r="J11" s="193">
        <v>36000.0</v>
      </c>
    </row>
    <row r="13">
      <c r="A13" s="189" t="s">
        <v>324</v>
      </c>
      <c r="B13" s="190" t="s">
        <v>349</v>
      </c>
      <c r="C13" s="190">
        <v>10.0</v>
      </c>
      <c r="D13" s="190">
        <v>2.0</v>
      </c>
      <c r="E13" s="190">
        <v>8.0</v>
      </c>
      <c r="F13" s="190" t="s">
        <v>358</v>
      </c>
      <c r="G13" s="190">
        <v>2.0</v>
      </c>
      <c r="H13" s="190">
        <v>2.0</v>
      </c>
      <c r="I13" s="190" t="s">
        <v>362</v>
      </c>
      <c r="J13" s="191">
        <v>24000.0</v>
      </c>
    </row>
    <row r="14">
      <c r="A14" s="189" t="s">
        <v>324</v>
      </c>
      <c r="B14" s="192" t="s">
        <v>352</v>
      </c>
      <c r="C14" s="192">
        <v>6.0</v>
      </c>
      <c r="D14" s="192">
        <v>2.0</v>
      </c>
      <c r="E14" s="192">
        <v>4.0</v>
      </c>
      <c r="F14" s="192" t="s">
        <v>363</v>
      </c>
      <c r="G14" s="192">
        <v>0.0</v>
      </c>
      <c r="H14" s="192">
        <v>0.0</v>
      </c>
      <c r="I14" s="192" t="s">
        <v>354</v>
      </c>
      <c r="J14" s="193">
        <v>0.0</v>
      </c>
    </row>
    <row r="16">
      <c r="A16" s="189" t="s">
        <v>325</v>
      </c>
      <c r="B16" s="190" t="s">
        <v>349</v>
      </c>
      <c r="C16" s="190">
        <v>1.0</v>
      </c>
      <c r="D16" s="190">
        <v>0.0</v>
      </c>
      <c r="E16" s="190">
        <v>1.0</v>
      </c>
      <c r="F16" s="190" t="s">
        <v>357</v>
      </c>
      <c r="G16" s="190">
        <v>0.0</v>
      </c>
      <c r="H16" s="190">
        <v>1.0</v>
      </c>
      <c r="I16" s="190" t="s">
        <v>354</v>
      </c>
      <c r="J16" s="191">
        <v>0.0</v>
      </c>
    </row>
    <row r="19">
      <c r="A19" s="194" t="s">
        <v>364</v>
      </c>
    </row>
    <row r="20">
      <c r="A20" s="195" t="s">
        <v>365</v>
      </c>
      <c r="B20" s="196" t="s">
        <v>349</v>
      </c>
      <c r="C20" s="196">
        <v>29.0</v>
      </c>
      <c r="D20" s="196">
        <v>6.0</v>
      </c>
      <c r="E20" s="196">
        <v>23.0</v>
      </c>
      <c r="F20" s="196" t="s">
        <v>366</v>
      </c>
      <c r="G20" s="196">
        <v>7.0</v>
      </c>
      <c r="H20" s="196">
        <v>5.0</v>
      </c>
      <c r="I20" s="196" t="s">
        <v>367</v>
      </c>
      <c r="J20" s="197">
        <v>84000.0</v>
      </c>
    </row>
    <row r="21">
      <c r="A21" s="195" t="s">
        <v>365</v>
      </c>
      <c r="B21" s="196" t="s">
        <v>352</v>
      </c>
      <c r="C21" s="196">
        <v>37.0</v>
      </c>
      <c r="D21" s="196">
        <v>11.0</v>
      </c>
      <c r="E21" s="196">
        <v>26.0</v>
      </c>
      <c r="F21" s="196" t="s">
        <v>368</v>
      </c>
      <c r="G21" s="196">
        <v>3.0</v>
      </c>
      <c r="H21" s="196">
        <v>9.0</v>
      </c>
      <c r="I21" s="196" t="s">
        <v>369</v>
      </c>
      <c r="J21" s="197">
        <v>36000.0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0.5"/>
    <col customWidth="1" min="3" max="10" width="9.63"/>
    <col customWidth="1" min="11" max="26" width="7.63"/>
  </cols>
  <sheetData>
    <row r="1">
      <c r="A1" s="187" t="s">
        <v>370</v>
      </c>
    </row>
    <row r="3">
      <c r="A3" s="188" t="s">
        <v>342</v>
      </c>
      <c r="B3" s="188" t="s">
        <v>343</v>
      </c>
      <c r="C3" s="188" t="s">
        <v>344</v>
      </c>
      <c r="D3" s="188" t="s">
        <v>345</v>
      </c>
      <c r="E3" s="188" t="s">
        <v>346</v>
      </c>
      <c r="F3" s="188" t="s">
        <v>35</v>
      </c>
      <c r="G3" s="188" t="s">
        <v>347</v>
      </c>
      <c r="H3" s="188" t="s">
        <v>348</v>
      </c>
      <c r="I3" s="188" t="s">
        <v>37</v>
      </c>
      <c r="J3" s="188" t="s">
        <v>320</v>
      </c>
    </row>
    <row r="4">
      <c r="A4" s="189" t="s">
        <v>323</v>
      </c>
      <c r="B4" s="190" t="s">
        <v>349</v>
      </c>
      <c r="C4" s="190">
        <v>5.0</v>
      </c>
      <c r="D4" s="190">
        <v>1.0</v>
      </c>
      <c r="E4" s="190">
        <v>4.0</v>
      </c>
      <c r="F4" s="190" t="s">
        <v>358</v>
      </c>
      <c r="G4" s="190">
        <v>2.0</v>
      </c>
      <c r="H4" s="190">
        <v>0.0</v>
      </c>
      <c r="I4" s="190" t="s">
        <v>359</v>
      </c>
      <c r="J4" s="191">
        <v>19100.0</v>
      </c>
    </row>
    <row r="5">
      <c r="A5" s="189" t="s">
        <v>323</v>
      </c>
      <c r="B5" s="192" t="s">
        <v>352</v>
      </c>
      <c r="C5" s="192">
        <v>14.0</v>
      </c>
      <c r="D5" s="192">
        <v>3.0</v>
      </c>
      <c r="E5" s="192">
        <v>11.0</v>
      </c>
      <c r="F5" s="192" t="s">
        <v>366</v>
      </c>
      <c r="G5" s="192">
        <v>3.0</v>
      </c>
      <c r="H5" s="192">
        <v>6.0</v>
      </c>
      <c r="I5" s="192" t="s">
        <v>371</v>
      </c>
      <c r="J5" s="193">
        <v>27450.0</v>
      </c>
    </row>
    <row r="7">
      <c r="A7" s="189" t="s">
        <v>328</v>
      </c>
      <c r="B7" s="190" t="s">
        <v>349</v>
      </c>
      <c r="C7" s="190">
        <v>3.0</v>
      </c>
      <c r="D7" s="190">
        <v>1.0</v>
      </c>
      <c r="E7" s="190">
        <v>2.0</v>
      </c>
      <c r="F7" s="190" t="s">
        <v>363</v>
      </c>
      <c r="G7" s="190">
        <v>1.0</v>
      </c>
      <c r="H7" s="190">
        <v>0.0</v>
      </c>
      <c r="I7" s="190" t="s">
        <v>359</v>
      </c>
      <c r="J7" s="191">
        <v>9500.0</v>
      </c>
    </row>
    <row r="8">
      <c r="A8" s="189" t="s">
        <v>328</v>
      </c>
      <c r="B8" s="192" t="s">
        <v>352</v>
      </c>
      <c r="C8" s="192">
        <v>21.0</v>
      </c>
      <c r="D8" s="192">
        <v>4.0</v>
      </c>
      <c r="E8" s="192">
        <v>17.0</v>
      </c>
      <c r="F8" s="192" t="s">
        <v>372</v>
      </c>
      <c r="G8" s="192">
        <v>3.0</v>
      </c>
      <c r="H8" s="192">
        <v>11.0</v>
      </c>
      <c r="I8" s="192" t="s">
        <v>373</v>
      </c>
      <c r="J8" s="193">
        <v>27650.0</v>
      </c>
    </row>
    <row r="10">
      <c r="A10" s="189" t="s">
        <v>326</v>
      </c>
      <c r="B10" s="190" t="s">
        <v>349</v>
      </c>
      <c r="C10" s="190">
        <v>10.0</v>
      </c>
      <c r="D10" s="190">
        <v>2.0</v>
      </c>
      <c r="E10" s="190">
        <v>8.0</v>
      </c>
      <c r="F10" s="190" t="s">
        <v>358</v>
      </c>
      <c r="G10" s="190">
        <v>1.0</v>
      </c>
      <c r="H10" s="190">
        <v>2.0</v>
      </c>
      <c r="I10" s="190" t="s">
        <v>374</v>
      </c>
      <c r="J10" s="191">
        <v>2000.0</v>
      </c>
    </row>
    <row r="11">
      <c r="A11" s="189" t="s">
        <v>326</v>
      </c>
      <c r="B11" s="192" t="s">
        <v>352</v>
      </c>
      <c r="C11" s="192">
        <v>21.0</v>
      </c>
      <c r="D11" s="192">
        <v>3.0</v>
      </c>
      <c r="E11" s="192">
        <v>18.0</v>
      </c>
      <c r="F11" s="192" t="s">
        <v>375</v>
      </c>
      <c r="G11" s="192">
        <v>3.0</v>
      </c>
      <c r="H11" s="192">
        <v>7.0</v>
      </c>
      <c r="I11" s="192" t="s">
        <v>376</v>
      </c>
      <c r="J11" s="193">
        <v>28600.0</v>
      </c>
    </row>
    <row r="13">
      <c r="A13" s="189" t="s">
        <v>324</v>
      </c>
      <c r="B13" s="190" t="s">
        <v>349</v>
      </c>
      <c r="C13" s="190">
        <v>11.0</v>
      </c>
      <c r="D13" s="190">
        <v>1.0</v>
      </c>
      <c r="E13" s="190">
        <v>10.0</v>
      </c>
      <c r="F13" s="190" t="s">
        <v>377</v>
      </c>
      <c r="G13" s="190">
        <v>3.0</v>
      </c>
      <c r="H13" s="190">
        <v>1.0</v>
      </c>
      <c r="I13" s="190" t="s">
        <v>378</v>
      </c>
      <c r="J13" s="191">
        <v>28800.0</v>
      </c>
    </row>
    <row r="14">
      <c r="A14" s="189" t="s">
        <v>324</v>
      </c>
      <c r="B14" s="192" t="s">
        <v>352</v>
      </c>
      <c r="C14" s="192">
        <v>13.0</v>
      </c>
      <c r="D14" s="192">
        <v>1.0</v>
      </c>
      <c r="E14" s="192">
        <v>12.0</v>
      </c>
      <c r="F14" s="192" t="s">
        <v>379</v>
      </c>
      <c r="G14" s="192">
        <v>1.0</v>
      </c>
      <c r="H14" s="192">
        <v>2.0</v>
      </c>
      <c r="I14" s="192" t="s">
        <v>380</v>
      </c>
      <c r="J14" s="193">
        <v>2000.0</v>
      </c>
    </row>
    <row r="16">
      <c r="A16" s="189" t="s">
        <v>325</v>
      </c>
      <c r="B16" s="192" t="s">
        <v>352</v>
      </c>
      <c r="C16" s="192">
        <v>3.0</v>
      </c>
      <c r="D16" s="192">
        <v>0.0</v>
      </c>
      <c r="E16" s="192">
        <v>3.0</v>
      </c>
      <c r="F16" s="192" t="s">
        <v>357</v>
      </c>
      <c r="G16" s="192">
        <v>0.0</v>
      </c>
      <c r="H16" s="192">
        <v>0.0</v>
      </c>
      <c r="I16" s="192" t="s">
        <v>354</v>
      </c>
      <c r="J16" s="193">
        <v>0.0</v>
      </c>
    </row>
    <row r="19">
      <c r="A19" s="194" t="s">
        <v>364</v>
      </c>
    </row>
    <row r="20">
      <c r="A20" s="195" t="s">
        <v>365</v>
      </c>
      <c r="B20" s="196" t="s">
        <v>349</v>
      </c>
      <c r="C20" s="196">
        <v>29.0</v>
      </c>
      <c r="D20" s="196">
        <v>5.0</v>
      </c>
      <c r="E20" s="196">
        <v>24.0</v>
      </c>
      <c r="F20" s="196" t="s">
        <v>381</v>
      </c>
      <c r="G20" s="196">
        <v>7.0</v>
      </c>
      <c r="H20" s="196">
        <v>3.0</v>
      </c>
      <c r="I20" s="196" t="s">
        <v>382</v>
      </c>
      <c r="J20" s="197">
        <v>59400.0</v>
      </c>
    </row>
    <row r="21">
      <c r="A21" s="195" t="s">
        <v>365</v>
      </c>
      <c r="B21" s="196" t="s">
        <v>352</v>
      </c>
      <c r="C21" s="196">
        <v>72.0</v>
      </c>
      <c r="D21" s="196">
        <v>11.0</v>
      </c>
      <c r="E21" s="196">
        <v>61.0</v>
      </c>
      <c r="F21" s="196" t="s">
        <v>383</v>
      </c>
      <c r="G21" s="196">
        <v>10.0</v>
      </c>
      <c r="H21" s="196">
        <v>26.0</v>
      </c>
      <c r="I21" s="196" t="s">
        <v>384</v>
      </c>
      <c r="J21" s="197">
        <v>85700.0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